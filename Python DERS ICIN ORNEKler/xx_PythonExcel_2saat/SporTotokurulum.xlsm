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del\Desktop\Spor Toto\"/>
    </mc:Choice>
  </mc:AlternateContent>
  <bookViews>
    <workbookView xWindow="0" yWindow="0" windowWidth="15270" windowHeight="3855" activeTab="1"/>
  </bookViews>
  <sheets>
    <sheet name="Spor Toto" sheetId="1" r:id="rId1"/>
    <sheet name="Formüller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J30" i="1" l="1"/>
  <c r="CL30" i="1"/>
  <c r="CM30" i="1"/>
  <c r="CN30" i="1"/>
  <c r="CS30" i="1"/>
  <c r="C2" i="1" l="1"/>
  <c r="BA3" i="1" l="1"/>
  <c r="BB3" i="1"/>
  <c r="BC3" i="1"/>
  <c r="BD3" i="1"/>
  <c r="BF3" i="1"/>
  <c r="BG3" i="1"/>
  <c r="BH3" i="1"/>
  <c r="BA4" i="1"/>
  <c r="BB4" i="1"/>
  <c r="BC4" i="1"/>
  <c r="BD4" i="1"/>
  <c r="BF4" i="1"/>
  <c r="BG4" i="1"/>
  <c r="BH4" i="1"/>
  <c r="BA5" i="1"/>
  <c r="BB5" i="1"/>
  <c r="BC5" i="1"/>
  <c r="BD5" i="1"/>
  <c r="BF5" i="1"/>
  <c r="BG5" i="1"/>
  <c r="BH5" i="1"/>
  <c r="BA6" i="1"/>
  <c r="BB6" i="1"/>
  <c r="BC6" i="1"/>
  <c r="BD6" i="1"/>
  <c r="BF6" i="1"/>
  <c r="BG6" i="1"/>
  <c r="BH6" i="1"/>
  <c r="BA7" i="1"/>
  <c r="BB7" i="1"/>
  <c r="BC7" i="1"/>
  <c r="BD7" i="1"/>
  <c r="BF7" i="1"/>
  <c r="BG7" i="1"/>
  <c r="BH7" i="1"/>
  <c r="BA8" i="1"/>
  <c r="BB8" i="1"/>
  <c r="BC8" i="1"/>
  <c r="BD8" i="1"/>
  <c r="BF8" i="1"/>
  <c r="BG8" i="1"/>
  <c r="BH8" i="1"/>
  <c r="BA9" i="1"/>
  <c r="BB9" i="1"/>
  <c r="BC9" i="1"/>
  <c r="BD9" i="1"/>
  <c r="BF9" i="1"/>
  <c r="BG9" i="1"/>
  <c r="BH9" i="1"/>
  <c r="BA10" i="1"/>
  <c r="BB10" i="1"/>
  <c r="BC10" i="1"/>
  <c r="BD10" i="1"/>
  <c r="BF10" i="1"/>
  <c r="BG10" i="1"/>
  <c r="BH10" i="1"/>
  <c r="BA11" i="1"/>
  <c r="BB11" i="1"/>
  <c r="BC11" i="1"/>
  <c r="BD11" i="1"/>
  <c r="BF11" i="1"/>
  <c r="BG11" i="1"/>
  <c r="BH11" i="1"/>
  <c r="BA12" i="1"/>
  <c r="BB12" i="1"/>
  <c r="BC12" i="1"/>
  <c r="BD12" i="1"/>
  <c r="BF12" i="1"/>
  <c r="BG12" i="1"/>
  <c r="BH12" i="1"/>
  <c r="BA13" i="1"/>
  <c r="BB13" i="1"/>
  <c r="BC13" i="1"/>
  <c r="BD13" i="1"/>
  <c r="BF13" i="1"/>
  <c r="BG13" i="1"/>
  <c r="BH13" i="1"/>
  <c r="BA14" i="1"/>
  <c r="BB14" i="1"/>
  <c r="BC14" i="1"/>
  <c r="BD14" i="1"/>
  <c r="BF14" i="1"/>
  <c r="BG14" i="1"/>
  <c r="BH14" i="1"/>
  <c r="BA15" i="1"/>
  <c r="BB15" i="1"/>
  <c r="BC15" i="1"/>
  <c r="BD15" i="1"/>
  <c r="BF15" i="1"/>
  <c r="BG15" i="1"/>
  <c r="BH15" i="1"/>
  <c r="BA16" i="1"/>
  <c r="BB16" i="1"/>
  <c r="BC16" i="1"/>
  <c r="BD16" i="1"/>
  <c r="BF16" i="1"/>
  <c r="BG16" i="1"/>
  <c r="BH16" i="1"/>
  <c r="BA17" i="1"/>
  <c r="BB17" i="1"/>
  <c r="BC17" i="1"/>
  <c r="BD17" i="1"/>
  <c r="BF17" i="1"/>
  <c r="BG17" i="1"/>
  <c r="BH17" i="1"/>
  <c r="BI11" i="1" l="1"/>
  <c r="BI7" i="1"/>
  <c r="BI5" i="1"/>
  <c r="BI15" i="1"/>
  <c r="BE12" i="1"/>
  <c r="CK30" i="1"/>
  <c r="CI30" i="1"/>
  <c r="BI3" i="1"/>
  <c r="BE10" i="1"/>
  <c r="BE6" i="1"/>
  <c r="BE15" i="1"/>
  <c r="BI12" i="1"/>
  <c r="BE11" i="1"/>
  <c r="BE7" i="1"/>
  <c r="BE5" i="1"/>
  <c r="BE3" i="1"/>
  <c r="BI17" i="1"/>
  <c r="BE16" i="1"/>
  <c r="BE14" i="1"/>
  <c r="BE8" i="1"/>
  <c r="BE4" i="1"/>
  <c r="BI16" i="1"/>
  <c r="BI14" i="1"/>
  <c r="BI10" i="1"/>
  <c r="BI8" i="1"/>
  <c r="BI6" i="1"/>
  <c r="BI4" i="1"/>
  <c r="BI13" i="1"/>
  <c r="BI9" i="1"/>
  <c r="BE17" i="1"/>
  <c r="BE13" i="1"/>
  <c r="BE9" i="1"/>
  <c r="CT30" i="1" l="1"/>
  <c r="CR30" i="1"/>
  <c r="CO30" i="1"/>
  <c r="CQ30" i="1"/>
  <c r="CP30" i="1"/>
  <c r="CX30" i="1"/>
  <c r="CZ30" i="1"/>
  <c r="DB30" i="1"/>
  <c r="DD30" i="1"/>
  <c r="DF30" i="1"/>
  <c r="DH30" i="1"/>
  <c r="DJ30" i="1"/>
  <c r="DL30" i="1"/>
  <c r="CY30" i="1"/>
  <c r="DA30" i="1"/>
  <c r="DC30" i="1"/>
  <c r="DE30" i="1"/>
  <c r="DG30" i="1"/>
  <c r="DI30" i="1"/>
  <c r="DK30" i="1"/>
  <c r="CJ25" i="1"/>
  <c r="CL25" i="1"/>
  <c r="CN25" i="1"/>
  <c r="E4" i="2" l="1"/>
  <c r="CI22" i="1" l="1"/>
  <c r="CJ4" i="1"/>
  <c r="DJ22" i="1" l="1"/>
  <c r="DF22" i="1"/>
  <c r="CK4" i="1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CV30" i="1"/>
  <c r="CW30" i="1"/>
  <c r="CU30" i="1"/>
  <c r="DE12" i="1" l="1"/>
  <c r="DF12" i="1" s="1"/>
  <c r="DG12" i="1"/>
  <c r="DH12" i="1" s="1"/>
  <c r="DI12" i="1"/>
  <c r="DJ12" i="1" s="1"/>
  <c r="DE13" i="1"/>
  <c r="DF13" i="1" s="1"/>
  <c r="DG13" i="1"/>
  <c r="DH13" i="1" s="1"/>
  <c r="DI13" i="1"/>
  <c r="DJ13" i="1" s="1"/>
  <c r="DE14" i="1"/>
  <c r="DF14" i="1" s="1"/>
  <c r="DG14" i="1"/>
  <c r="DH14" i="1" s="1"/>
  <c r="DI14" i="1"/>
  <c r="DJ14" i="1" s="1"/>
  <c r="DE15" i="1"/>
  <c r="DF15" i="1" s="1"/>
  <c r="DG15" i="1"/>
  <c r="DH15" i="1" s="1"/>
  <c r="DI15" i="1"/>
  <c r="DJ15" i="1" s="1"/>
  <c r="DE16" i="1"/>
  <c r="DF16" i="1" s="1"/>
  <c r="DG16" i="1"/>
  <c r="DH16" i="1" s="1"/>
  <c r="DI16" i="1"/>
  <c r="DJ16" i="1" s="1"/>
  <c r="DE17" i="1"/>
  <c r="DF17" i="1" s="1"/>
  <c r="DG17" i="1"/>
  <c r="DH17" i="1" s="1"/>
  <c r="DI17" i="1"/>
  <c r="DJ17" i="1" s="1"/>
  <c r="DE18" i="1"/>
  <c r="DF18" i="1" s="1"/>
  <c r="DG18" i="1"/>
  <c r="DH18" i="1" s="1"/>
  <c r="DI18" i="1"/>
  <c r="DJ18" i="1" s="1"/>
  <c r="DE19" i="1"/>
  <c r="DF19" i="1" s="1"/>
  <c r="DG19" i="1"/>
  <c r="DH19" i="1" s="1"/>
  <c r="DI19" i="1"/>
  <c r="DJ19" i="1" s="1"/>
  <c r="E7" i="2" l="1"/>
  <c r="DE25" i="1" l="1"/>
  <c r="DU34" i="1" l="1"/>
  <c r="DV34" i="1"/>
  <c r="DX34" i="1"/>
  <c r="DU32" i="1" l="1"/>
  <c r="K3" i="1" l="1"/>
  <c r="AK37" i="1" l="1"/>
  <c r="AL37" i="1"/>
  <c r="CZ5" i="1" l="1"/>
  <c r="CZ6" i="1"/>
  <c r="CZ7" i="1"/>
  <c r="CZ8" i="1"/>
  <c r="CZ9" i="1"/>
  <c r="CZ10" i="1"/>
  <c r="CZ11" i="1"/>
  <c r="CZ12" i="1"/>
  <c r="CZ13" i="1"/>
  <c r="CZ14" i="1"/>
  <c r="CZ15" i="1"/>
  <c r="CZ16" i="1"/>
  <c r="CZ17" i="1"/>
  <c r="CZ18" i="1"/>
  <c r="CZ19" i="1"/>
  <c r="CZ4" i="1"/>
  <c r="CZ25" i="1"/>
  <c r="DA21" i="1" l="1" a="1"/>
  <c r="DA21" i="1" s="1"/>
  <c r="CZ21" i="1" a="1"/>
  <c r="CZ21" i="1" s="1"/>
  <c r="CZ26" i="1" l="1"/>
  <c r="DX32" i="1" l="1"/>
  <c r="AG37" i="1" l="1"/>
  <c r="AC37" i="1"/>
  <c r="Y37" i="1"/>
  <c r="AH37" i="1"/>
  <c r="AD37" i="1"/>
  <c r="Z37" i="1"/>
  <c r="CN5" i="1" l="1"/>
  <c r="CO5" i="1" s="1"/>
  <c r="CN6" i="1"/>
  <c r="CO6" i="1" s="1"/>
  <c r="CN7" i="1"/>
  <c r="CO7" i="1" s="1"/>
  <c r="CN8" i="1"/>
  <c r="CO8" i="1" s="1"/>
  <c r="CN9" i="1"/>
  <c r="CO9" i="1" s="1"/>
  <c r="CN10" i="1"/>
  <c r="CO10" i="1" s="1"/>
  <c r="CN11" i="1"/>
  <c r="CO11" i="1" s="1"/>
  <c r="CN12" i="1"/>
  <c r="CO12" i="1" s="1"/>
  <c r="CN13" i="1"/>
  <c r="CO13" i="1" s="1"/>
  <c r="CN14" i="1"/>
  <c r="CO14" i="1" s="1"/>
  <c r="CN15" i="1"/>
  <c r="CO15" i="1" s="1"/>
  <c r="CN16" i="1"/>
  <c r="CO16" i="1" s="1"/>
  <c r="CN17" i="1"/>
  <c r="CO17" i="1" s="1"/>
  <c r="CN18" i="1"/>
  <c r="CO18" i="1" s="1"/>
  <c r="CN19" i="1"/>
  <c r="CO19" i="1" s="1"/>
  <c r="CN4" i="1"/>
  <c r="CL5" i="1"/>
  <c r="CM5" i="1" s="1"/>
  <c r="CL6" i="1"/>
  <c r="CM6" i="1" s="1"/>
  <c r="CL7" i="1"/>
  <c r="CM7" i="1" s="1"/>
  <c r="CL8" i="1"/>
  <c r="CM8" i="1" s="1"/>
  <c r="CL9" i="1"/>
  <c r="CM9" i="1" s="1"/>
  <c r="CL10" i="1"/>
  <c r="CM10" i="1" s="1"/>
  <c r="CL11" i="1"/>
  <c r="CM11" i="1" s="1"/>
  <c r="CL12" i="1"/>
  <c r="CM12" i="1" s="1"/>
  <c r="CL13" i="1"/>
  <c r="CM13" i="1" s="1"/>
  <c r="CL14" i="1"/>
  <c r="CM14" i="1" s="1"/>
  <c r="CL15" i="1"/>
  <c r="CM15" i="1" s="1"/>
  <c r="CL16" i="1"/>
  <c r="CM16" i="1" s="1"/>
  <c r="CL17" i="1"/>
  <c r="CM17" i="1" s="1"/>
  <c r="CL18" i="1"/>
  <c r="CM18" i="1" s="1"/>
  <c r="CL19" i="1"/>
  <c r="CM19" i="1" s="1"/>
  <c r="CL4" i="1"/>
  <c r="CJ5" i="1"/>
  <c r="CJ6" i="1"/>
  <c r="CK6" i="1" s="1"/>
  <c r="CJ7" i="1"/>
  <c r="CK7" i="1" s="1"/>
  <c r="CJ8" i="1"/>
  <c r="CK8" i="1" s="1"/>
  <c r="CJ9" i="1"/>
  <c r="CK9" i="1" s="1"/>
  <c r="CJ10" i="1"/>
  <c r="CK10" i="1" s="1"/>
  <c r="CJ11" i="1"/>
  <c r="CK11" i="1" s="1"/>
  <c r="CJ12" i="1"/>
  <c r="CK12" i="1" s="1"/>
  <c r="CJ13" i="1"/>
  <c r="CK13" i="1" s="1"/>
  <c r="CJ14" i="1"/>
  <c r="CK14" i="1" s="1"/>
  <c r="CJ15" i="1"/>
  <c r="CK15" i="1" s="1"/>
  <c r="CJ16" i="1"/>
  <c r="CK16" i="1" s="1"/>
  <c r="CJ17" i="1"/>
  <c r="CK17" i="1" s="1"/>
  <c r="CJ18" i="1"/>
  <c r="CK18" i="1" s="1"/>
  <c r="CJ19" i="1"/>
  <c r="CK19" i="1" s="1"/>
  <c r="CI21" i="1" l="1"/>
  <c r="CO4" i="1"/>
  <c r="CO21" i="1" a="1"/>
  <c r="CO21" i="1" s="1"/>
  <c r="CN21" i="1" a="1"/>
  <c r="CN21" i="1" s="1"/>
  <c r="CM21" i="1" a="1"/>
  <c r="CM21" i="1" s="1"/>
  <c r="CL21" i="1" a="1"/>
  <c r="CL21" i="1" s="1"/>
  <c r="CK21" i="1" a="1"/>
  <c r="CK21" i="1" s="1"/>
  <c r="CJ21" i="1" a="1"/>
  <c r="CJ21" i="1" s="1"/>
  <c r="CK5" i="1"/>
  <c r="CM4" i="1"/>
  <c r="CN26" i="1" l="1"/>
  <c r="CJ26" i="1"/>
  <c r="CL26" i="1"/>
  <c r="DG5" i="1" l="1"/>
  <c r="DH5" i="1" s="1"/>
  <c r="DG7" i="1"/>
  <c r="DH7" i="1" s="1"/>
  <c r="DG9" i="1"/>
  <c r="DH9" i="1" s="1"/>
  <c r="DG11" i="1"/>
  <c r="DH11" i="1" s="1"/>
  <c r="DG6" i="1"/>
  <c r="DH6" i="1" s="1"/>
  <c r="DG8" i="1"/>
  <c r="DH8" i="1" s="1"/>
  <c r="DG10" i="1"/>
  <c r="DH10" i="1" s="1"/>
  <c r="DG4" i="1"/>
  <c r="DE4" i="1"/>
  <c r="DE5" i="1"/>
  <c r="DF5" i="1" s="1"/>
  <c r="DE7" i="1"/>
  <c r="DF7" i="1" s="1"/>
  <c r="DE9" i="1"/>
  <c r="DF9" i="1" s="1"/>
  <c r="DE11" i="1"/>
  <c r="DF11" i="1" s="1"/>
  <c r="DE6" i="1"/>
  <c r="DF6" i="1" s="1"/>
  <c r="DE8" i="1"/>
  <c r="DF8" i="1" s="1"/>
  <c r="DE10" i="1"/>
  <c r="DF10" i="1" s="1"/>
  <c r="DI5" i="1"/>
  <c r="DJ5" i="1" s="1"/>
  <c r="DI7" i="1"/>
  <c r="DJ7" i="1" s="1"/>
  <c r="DI9" i="1"/>
  <c r="DJ9" i="1" s="1"/>
  <c r="DI11" i="1"/>
  <c r="DJ11" i="1" s="1"/>
  <c r="DI6" i="1"/>
  <c r="DJ6" i="1" s="1"/>
  <c r="DI8" i="1"/>
  <c r="DJ8" i="1" s="1"/>
  <c r="DI10" i="1"/>
  <c r="DJ10" i="1" s="1"/>
  <c r="DI4" i="1"/>
  <c r="DG25" i="1"/>
  <c r="DI25" i="1"/>
  <c r="DJ4" i="1" l="1"/>
  <c r="DI21" i="1" a="1"/>
  <c r="DI21" i="1" s="1"/>
  <c r="DJ21" i="1" a="1"/>
  <c r="DJ21" i="1" s="1"/>
  <c r="DH4" i="1"/>
  <c r="DH21" i="1" a="1"/>
  <c r="DH21" i="1" s="1"/>
  <c r="DG21" i="1" a="1"/>
  <c r="DG21" i="1" s="1"/>
  <c r="DF4" i="1"/>
  <c r="DF21" i="1" a="1"/>
  <c r="DF21" i="1" s="1"/>
  <c r="DE21" i="1" a="1"/>
  <c r="DE21" i="1" s="1"/>
  <c r="E3" i="1"/>
  <c r="G8" i="1" s="1"/>
  <c r="DG26" i="1" l="1"/>
  <c r="DI26" i="1"/>
  <c r="DE26" i="1"/>
  <c r="M23" i="1" l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22" i="1"/>
  <c r="R6" i="1"/>
  <c r="S6" i="1"/>
  <c r="T6" i="1"/>
  <c r="R7" i="1"/>
  <c r="S7" i="1"/>
  <c r="T7" i="1"/>
  <c r="R8" i="1"/>
  <c r="S8" i="1"/>
  <c r="T8" i="1"/>
  <c r="R9" i="1"/>
  <c r="S9" i="1"/>
  <c r="T9" i="1"/>
  <c r="R10" i="1"/>
  <c r="S10" i="1"/>
  <c r="T10" i="1"/>
  <c r="R11" i="1"/>
  <c r="S11" i="1"/>
  <c r="T11" i="1"/>
  <c r="R12" i="1"/>
  <c r="S12" i="1"/>
  <c r="T12" i="1"/>
  <c r="R13" i="1"/>
  <c r="S13" i="1"/>
  <c r="T13" i="1"/>
  <c r="R14" i="1"/>
  <c r="S14" i="1"/>
  <c r="T14" i="1"/>
  <c r="R15" i="1"/>
  <c r="S15" i="1"/>
  <c r="T15" i="1"/>
  <c r="R16" i="1"/>
  <c r="S16" i="1"/>
  <c r="T16" i="1"/>
  <c r="R17" i="1"/>
  <c r="S17" i="1"/>
  <c r="T17" i="1"/>
  <c r="R18" i="1"/>
  <c r="S18" i="1"/>
  <c r="T18" i="1"/>
  <c r="R19" i="1"/>
  <c r="S19" i="1"/>
  <c r="T19" i="1"/>
  <c r="I23" i="1" l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22" i="1"/>
  <c r="V6" i="1" l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S5" i="1"/>
  <c r="T5" i="1"/>
  <c r="R5" i="1"/>
  <c r="V5" i="1" l="1"/>
  <c r="Y5" i="1" s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Y6" i="1"/>
  <c r="X6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AJ6" i="1"/>
  <c r="AK6" i="1"/>
  <c r="AL6" i="1"/>
  <c r="AJ7" i="1"/>
  <c r="AK7" i="1"/>
  <c r="AL7" i="1"/>
  <c r="AJ8" i="1"/>
  <c r="AK8" i="1"/>
  <c r="AL8" i="1"/>
  <c r="AK9" i="1"/>
  <c r="AJ10" i="1"/>
  <c r="AK10" i="1"/>
  <c r="AL10" i="1"/>
  <c r="AJ11" i="1"/>
  <c r="AK11" i="1"/>
  <c r="AL11" i="1"/>
  <c r="AJ12" i="1"/>
  <c r="AK12" i="1"/>
  <c r="AL12" i="1"/>
  <c r="AJ13" i="1"/>
  <c r="AK13" i="1"/>
  <c r="AL13" i="1"/>
  <c r="AJ14" i="1"/>
  <c r="AK14" i="1"/>
  <c r="AL14" i="1"/>
  <c r="AJ15" i="1"/>
  <c r="AK15" i="1"/>
  <c r="AL15" i="1"/>
  <c r="AJ16" i="1"/>
  <c r="AK16" i="1"/>
  <c r="AL16" i="1"/>
  <c r="AJ17" i="1"/>
  <c r="AK17" i="1"/>
  <c r="AL17" i="1"/>
  <c r="AJ18" i="1"/>
  <c r="AK18" i="1"/>
  <c r="AL18" i="1"/>
  <c r="AJ19" i="1"/>
  <c r="AK19" i="1"/>
  <c r="AL19" i="1"/>
  <c r="AK5" i="1"/>
  <c r="AA6" i="1"/>
  <c r="AB6" i="1"/>
  <c r="AB7" i="1"/>
  <c r="AA8" i="1"/>
  <c r="AB8" i="1"/>
  <c r="AC8" i="1"/>
  <c r="AA9" i="1"/>
  <c r="AB9" i="1"/>
  <c r="AC9" i="1"/>
  <c r="AA10" i="1"/>
  <c r="AB10" i="1"/>
  <c r="AC10" i="1"/>
  <c r="AA11" i="1"/>
  <c r="AB11" i="1"/>
  <c r="AC11" i="1"/>
  <c r="AA12" i="1"/>
  <c r="AB12" i="1"/>
  <c r="AC12" i="1"/>
  <c r="AA13" i="1"/>
  <c r="AB13" i="1"/>
  <c r="AA14" i="1"/>
  <c r="AB14" i="1"/>
  <c r="AC14" i="1"/>
  <c r="AA15" i="1"/>
  <c r="AB15" i="1"/>
  <c r="AC15" i="1"/>
  <c r="AA16" i="1"/>
  <c r="AB16" i="1"/>
  <c r="AC16" i="1"/>
  <c r="AA17" i="1"/>
  <c r="AB17" i="1"/>
  <c r="AC17" i="1"/>
  <c r="AA18" i="1"/>
  <c r="AB18" i="1"/>
  <c r="AC18" i="1"/>
  <c r="AA19" i="1"/>
  <c r="AB19" i="1"/>
  <c r="AB5" i="1"/>
  <c r="AC5" i="1"/>
  <c r="AL5" i="1" l="1"/>
  <c r="AL9" i="1"/>
  <c r="DY34" i="1"/>
  <c r="AJ9" i="1"/>
  <c r="AJ5" i="1"/>
  <c r="AC19" i="1"/>
  <c r="AE19" i="1" s="1"/>
  <c r="AF19" i="1" s="1"/>
  <c r="W5" i="1"/>
  <c r="X5" i="1"/>
  <c r="AA7" i="1"/>
  <c r="H18" i="1"/>
  <c r="F18" i="1"/>
  <c r="N18" i="1"/>
  <c r="K18" i="1"/>
  <c r="G18" i="1"/>
  <c r="I18" i="1"/>
  <c r="M18" i="1"/>
  <c r="L18" i="1"/>
  <c r="H13" i="1"/>
  <c r="F13" i="1"/>
  <c r="K13" i="1"/>
  <c r="G13" i="1"/>
  <c r="L13" i="1"/>
  <c r="M13" i="1"/>
  <c r="I13" i="1"/>
  <c r="N13" i="1"/>
  <c r="AE17" i="1"/>
  <c r="AF17" i="1" s="1"/>
  <c r="AE15" i="1"/>
  <c r="AF15" i="1" s="1"/>
  <c r="AC13" i="1"/>
  <c r="AE13" i="1" s="1"/>
  <c r="AF13" i="1" s="1"/>
  <c r="AE11" i="1"/>
  <c r="AF11" i="1" s="1"/>
  <c r="AE9" i="1"/>
  <c r="AF9" i="1" s="1"/>
  <c r="AC7" i="1"/>
  <c r="AA5" i="1"/>
  <c r="AE18" i="1"/>
  <c r="AF18" i="1" s="1"/>
  <c r="AE16" i="1"/>
  <c r="AF16" i="1" s="1"/>
  <c r="AE14" i="1"/>
  <c r="AF14" i="1" s="1"/>
  <c r="AE12" i="1"/>
  <c r="AF12" i="1" s="1"/>
  <c r="AE10" i="1"/>
  <c r="AF10" i="1" s="1"/>
  <c r="AE8" i="1"/>
  <c r="AF8" i="1" s="1"/>
  <c r="AC6" i="1"/>
  <c r="AE6" i="1" s="1"/>
  <c r="I8" i="1"/>
  <c r="H8" i="1"/>
  <c r="F8" i="1"/>
  <c r="N8" i="1"/>
  <c r="L8" i="1"/>
  <c r="M8" i="1"/>
  <c r="K8" i="1"/>
  <c r="CQ25" i="1" l="1"/>
  <c r="AE7" i="1"/>
  <c r="AH7" i="1" s="1"/>
  <c r="CX6" i="1"/>
  <c r="CX10" i="1"/>
  <c r="CX14" i="1"/>
  <c r="CX18" i="1"/>
  <c r="CX7" i="1"/>
  <c r="CX11" i="1"/>
  <c r="CX15" i="1"/>
  <c r="CX19" i="1"/>
  <c r="DB4" i="1"/>
  <c r="DB5" i="1"/>
  <c r="DB7" i="1"/>
  <c r="DB9" i="1"/>
  <c r="DB11" i="1"/>
  <c r="DB13" i="1"/>
  <c r="DB15" i="1"/>
  <c r="DB17" i="1"/>
  <c r="DB19" i="1"/>
  <c r="DB6" i="1"/>
  <c r="DB8" i="1"/>
  <c r="DB10" i="1"/>
  <c r="DB12" i="1"/>
  <c r="DB14" i="1"/>
  <c r="DB16" i="1"/>
  <c r="DB18" i="1"/>
  <c r="DW34" i="1"/>
  <c r="DW32" i="1"/>
  <c r="DY32" i="1"/>
  <c r="G14" i="1"/>
  <c r="CS25" i="1"/>
  <c r="CX25" i="1"/>
  <c r="AH11" i="1"/>
  <c r="H9" i="1"/>
  <c r="I9" i="1"/>
  <c r="G9" i="1"/>
  <c r="DB25" i="1"/>
  <c r="CU25" i="1"/>
  <c r="AH12" i="1"/>
  <c r="AH19" i="1"/>
  <c r="AH16" i="1"/>
  <c r="AH8" i="1"/>
  <c r="AH15" i="1"/>
  <c r="AH18" i="1"/>
  <c r="AH14" i="1"/>
  <c r="AH10" i="1"/>
  <c r="AG8" i="1"/>
  <c r="AG10" i="1"/>
  <c r="AG12" i="1"/>
  <c r="AG14" i="1"/>
  <c r="AG16" i="1"/>
  <c r="AG18" i="1"/>
  <c r="AF6" i="1"/>
  <c r="AG6" i="1"/>
  <c r="AH6" i="1"/>
  <c r="AH17" i="1"/>
  <c r="AH13" i="1"/>
  <c r="AH9" i="1"/>
  <c r="AG7" i="1"/>
  <c r="AG9" i="1"/>
  <c r="AG11" i="1"/>
  <c r="AG13" i="1"/>
  <c r="AG15" i="1"/>
  <c r="AG17" i="1"/>
  <c r="AG19" i="1"/>
  <c r="AE5" i="1"/>
  <c r="AG5" i="1" s="1"/>
  <c r="G19" i="1"/>
  <c r="I19" i="1"/>
  <c r="H19" i="1"/>
  <c r="L19" i="1"/>
  <c r="M19" i="1"/>
  <c r="N19" i="1"/>
  <c r="N14" i="1"/>
  <c r="M14" i="1"/>
  <c r="I14" i="1"/>
  <c r="H14" i="1"/>
  <c r="L14" i="1"/>
  <c r="M9" i="1"/>
  <c r="N9" i="1"/>
  <c r="L9" i="1"/>
  <c r="AF7" i="1" l="1"/>
  <c r="CI23" i="1"/>
  <c r="DC21" i="1" a="1"/>
  <c r="DC21" i="1" s="1"/>
  <c r="DB21" i="1" a="1"/>
  <c r="DB21" i="1" s="1"/>
  <c r="CN23" i="1"/>
  <c r="CO23" i="1"/>
  <c r="CQ23" i="1"/>
  <c r="CR23" i="1"/>
  <c r="CT23" i="1"/>
  <c r="CS23" i="1"/>
  <c r="CV23" i="1"/>
  <c r="CU23" i="1"/>
  <c r="CX23" i="1"/>
  <c r="CY23" i="1"/>
  <c r="CZ23" i="1"/>
  <c r="DA23" i="1"/>
  <c r="DC23" i="1"/>
  <c r="DB23" i="1"/>
  <c r="DF23" i="1"/>
  <c r="DE23" i="1"/>
  <c r="DH23" i="1"/>
  <c r="DG23" i="1"/>
  <c r="DJ23" i="1"/>
  <c r="DI23" i="1"/>
  <c r="CK23" i="1"/>
  <c r="CJ23" i="1"/>
  <c r="CL23" i="1"/>
  <c r="CM23" i="1"/>
  <c r="DC16" i="1"/>
  <c r="CX17" i="1"/>
  <c r="CY17" i="1" s="1"/>
  <c r="CX13" i="1"/>
  <c r="CY13" i="1" s="1"/>
  <c r="CX9" i="1"/>
  <c r="CY9" i="1" s="1"/>
  <c r="CX5" i="1"/>
  <c r="CY5" i="1" s="1"/>
  <c r="CX4" i="1"/>
  <c r="CX16" i="1"/>
  <c r="CY16" i="1" s="1"/>
  <c r="CX12" i="1"/>
  <c r="CY12" i="1" s="1"/>
  <c r="CX8" i="1"/>
  <c r="CY8" i="1" s="1"/>
  <c r="DW5" i="1"/>
  <c r="DV5" i="1"/>
  <c r="IB8" i="1"/>
  <c r="DW9" i="1"/>
  <c r="DV9" i="1"/>
  <c r="IB12" i="1"/>
  <c r="DW13" i="1"/>
  <c r="DV13" i="1"/>
  <c r="DW17" i="1"/>
  <c r="DV17" i="1"/>
  <c r="GA6" i="1"/>
  <c r="FZ6" i="1"/>
  <c r="GA5" i="1"/>
  <c r="FZ5" i="1"/>
  <c r="IB19" i="1"/>
  <c r="DV6" i="1"/>
  <c r="DW6" i="1"/>
  <c r="IB9" i="1"/>
  <c r="DV10" i="1"/>
  <c r="DW10" i="1"/>
  <c r="IB13" i="1"/>
  <c r="DV14" i="1"/>
  <c r="DW14" i="1"/>
  <c r="IB16" i="1"/>
  <c r="DV18" i="1"/>
  <c r="DW18" i="1"/>
  <c r="GC6" i="1"/>
  <c r="GB6" i="1"/>
  <c r="GC5" i="1"/>
  <c r="GB5" i="1"/>
  <c r="IB20" i="1"/>
  <c r="CU18" i="1"/>
  <c r="CV18" i="1" s="1"/>
  <c r="CU16" i="1"/>
  <c r="CV16" i="1" s="1"/>
  <c r="CU14" i="1"/>
  <c r="CV14" i="1" s="1"/>
  <c r="CU12" i="1"/>
  <c r="CV12" i="1" s="1"/>
  <c r="CU10" i="1"/>
  <c r="CV10" i="1" s="1"/>
  <c r="CU8" i="1"/>
  <c r="CV8" i="1" s="1"/>
  <c r="CU6" i="1"/>
  <c r="CV6" i="1" s="1"/>
  <c r="CU4" i="1"/>
  <c r="CU19" i="1"/>
  <c r="CV19" i="1" s="1"/>
  <c r="CU17" i="1"/>
  <c r="CV17" i="1" s="1"/>
  <c r="CU15" i="1"/>
  <c r="CV15" i="1" s="1"/>
  <c r="CU13" i="1"/>
  <c r="CV13" i="1" s="1"/>
  <c r="CU11" i="1"/>
  <c r="CV11" i="1" s="1"/>
  <c r="CU9" i="1"/>
  <c r="CV9" i="1" s="1"/>
  <c r="CU7" i="1"/>
  <c r="CV7" i="1" s="1"/>
  <c r="CU5" i="1"/>
  <c r="CV5" i="1" s="1"/>
  <c r="DC18" i="1"/>
  <c r="DC14" i="1"/>
  <c r="DC10" i="1"/>
  <c r="DC6" i="1"/>
  <c r="DC19" i="1"/>
  <c r="DC15" i="1"/>
  <c r="DC11" i="1"/>
  <c r="DC7" i="1"/>
  <c r="CY19" i="1"/>
  <c r="CY15" i="1"/>
  <c r="CY11" i="1"/>
  <c r="CY7" i="1"/>
  <c r="CY18" i="1"/>
  <c r="CY14" i="1"/>
  <c r="CY10" i="1"/>
  <c r="CY6" i="1"/>
  <c r="DW7" i="1"/>
  <c r="DV7" i="1"/>
  <c r="IB10" i="1"/>
  <c r="DW11" i="1"/>
  <c r="DV11" i="1"/>
  <c r="IB14" i="1"/>
  <c r="DW15" i="1"/>
  <c r="DV15" i="1"/>
  <c r="FW6" i="1"/>
  <c r="FW5" i="1"/>
  <c r="IB17" i="1"/>
  <c r="DW19" i="1"/>
  <c r="DV19" i="1"/>
  <c r="GE6" i="1"/>
  <c r="GD6" i="1"/>
  <c r="GE5" i="1"/>
  <c r="GD5" i="1"/>
  <c r="IB22" i="1"/>
  <c r="IB21" i="1"/>
  <c r="DV8" i="1"/>
  <c r="DW8" i="1"/>
  <c r="IB11" i="1"/>
  <c r="DV12" i="1"/>
  <c r="DW12" i="1"/>
  <c r="IB15" i="1"/>
  <c r="DV16" i="1"/>
  <c r="DW16" i="1"/>
  <c r="FY6" i="1"/>
  <c r="FX6" i="1"/>
  <c r="FY5" i="1"/>
  <c r="FX5" i="1"/>
  <c r="IB18" i="1"/>
  <c r="CQ4" i="1"/>
  <c r="CQ18" i="1"/>
  <c r="CR18" i="1" s="1"/>
  <c r="CQ16" i="1"/>
  <c r="CR16" i="1" s="1"/>
  <c r="CQ14" i="1"/>
  <c r="CR14" i="1" s="1"/>
  <c r="CQ12" i="1"/>
  <c r="CR12" i="1" s="1"/>
  <c r="CQ10" i="1"/>
  <c r="CR10" i="1" s="1"/>
  <c r="CQ8" i="1"/>
  <c r="CR8" i="1" s="1"/>
  <c r="CQ6" i="1"/>
  <c r="CR6" i="1" s="1"/>
  <c r="CQ19" i="1"/>
  <c r="CR19" i="1" s="1"/>
  <c r="CQ17" i="1"/>
  <c r="CR17" i="1" s="1"/>
  <c r="CQ15" i="1"/>
  <c r="CR15" i="1" s="1"/>
  <c r="CQ13" i="1"/>
  <c r="CR13" i="1" s="1"/>
  <c r="CQ11" i="1"/>
  <c r="CR11" i="1" s="1"/>
  <c r="CQ9" i="1"/>
  <c r="CR9" i="1" s="1"/>
  <c r="CQ7" i="1"/>
  <c r="CR7" i="1" s="1"/>
  <c r="CQ5" i="1"/>
  <c r="CR5" i="1" s="1"/>
  <c r="DA5" i="1"/>
  <c r="DA7" i="1"/>
  <c r="DA9" i="1"/>
  <c r="DA11" i="1"/>
  <c r="DA13" i="1"/>
  <c r="DA15" i="1"/>
  <c r="DA17" i="1"/>
  <c r="DA19" i="1"/>
  <c r="CS18" i="1"/>
  <c r="CT18" i="1" s="1"/>
  <c r="CS16" i="1"/>
  <c r="CT16" i="1" s="1"/>
  <c r="CS14" i="1"/>
  <c r="CT14" i="1" s="1"/>
  <c r="CS12" i="1"/>
  <c r="CT12" i="1" s="1"/>
  <c r="CS10" i="1"/>
  <c r="CT10" i="1" s="1"/>
  <c r="CS8" i="1"/>
  <c r="CT8" i="1" s="1"/>
  <c r="CS6" i="1"/>
  <c r="CT6" i="1" s="1"/>
  <c r="CS4" i="1"/>
  <c r="DA6" i="1"/>
  <c r="DA8" i="1"/>
  <c r="DA10" i="1"/>
  <c r="DA12" i="1"/>
  <c r="DA14" i="1"/>
  <c r="DA16" i="1"/>
  <c r="DA18" i="1"/>
  <c r="DA4" i="1"/>
  <c r="CS19" i="1"/>
  <c r="CT19" i="1" s="1"/>
  <c r="CS17" i="1"/>
  <c r="CT17" i="1" s="1"/>
  <c r="CS15" i="1"/>
  <c r="CT15" i="1" s="1"/>
  <c r="CS13" i="1"/>
  <c r="CT13" i="1" s="1"/>
  <c r="CS11" i="1"/>
  <c r="CT11" i="1" s="1"/>
  <c r="CS9" i="1"/>
  <c r="CT9" i="1" s="1"/>
  <c r="CS7" i="1"/>
  <c r="CT7" i="1" s="1"/>
  <c r="CS5" i="1"/>
  <c r="CT5" i="1" s="1"/>
  <c r="DC12" i="1"/>
  <c r="DC8" i="1"/>
  <c r="DC17" i="1"/>
  <c r="DC13" i="1"/>
  <c r="DC9" i="1"/>
  <c r="DC5" i="1"/>
  <c r="DC4" i="1"/>
  <c r="AF5" i="1"/>
  <c r="AH5" i="1"/>
  <c r="CZ28" i="1" l="1"/>
  <c r="CX28" i="1"/>
  <c r="CU28" i="1"/>
  <c r="CS28" i="1"/>
  <c r="CQ28" i="1"/>
  <c r="CN28" i="1"/>
  <c r="CL28" i="1"/>
  <c r="CJ28" i="1"/>
  <c r="DI28" i="1"/>
  <c r="DG28" i="1"/>
  <c r="DE28" i="1"/>
  <c r="DB28" i="1"/>
  <c r="DB26" i="1"/>
  <c r="CY4" i="1"/>
  <c r="CY21" i="1" a="1"/>
  <c r="CY21" i="1" s="1"/>
  <c r="CX21" i="1" a="1"/>
  <c r="CX21" i="1" s="1"/>
  <c r="CV4" i="1"/>
  <c r="CV21" i="1" a="1"/>
  <c r="CV21" i="1" s="1"/>
  <c r="CU21" i="1" a="1"/>
  <c r="CU21" i="1" s="1"/>
  <c r="CT4" i="1"/>
  <c r="CT21" i="1" a="1"/>
  <c r="CT21" i="1" s="1"/>
  <c r="CS21" i="1" a="1"/>
  <c r="CS21" i="1" s="1"/>
  <c r="CR4" i="1"/>
  <c r="CR21" i="1" a="1"/>
  <c r="CR21" i="1" s="1"/>
  <c r="CQ21" i="1" a="1"/>
  <c r="CQ21" i="1" s="1"/>
  <c r="DC22" i="1"/>
  <c r="DB22" i="1"/>
  <c r="DA22" i="1"/>
  <c r="CZ22" i="1"/>
  <c r="CM22" i="1"/>
  <c r="CL22" i="1"/>
  <c r="DE22" i="1"/>
  <c r="CY22" i="1"/>
  <c r="CX22" i="1"/>
  <c r="CT22" i="1"/>
  <c r="CS22" i="1"/>
  <c r="CR22" i="1"/>
  <c r="CQ22" i="1"/>
  <c r="CV22" i="1"/>
  <c r="CU22" i="1"/>
  <c r="DI22" i="1"/>
  <c r="DI27" i="1" s="1"/>
  <c r="CO22" i="1"/>
  <c r="CN22" i="1"/>
  <c r="DH22" i="1"/>
  <c r="DG22" i="1"/>
  <c r="CK22" i="1"/>
  <c r="CJ22" i="1"/>
  <c r="EK34" i="1"/>
  <c r="EC34" i="1"/>
  <c r="EN34" i="1"/>
  <c r="EF34" i="1"/>
  <c r="EM34" i="1"/>
  <c r="EE34" i="1"/>
  <c r="ED34" i="1"/>
  <c r="EG34" i="1"/>
  <c r="EJ34" i="1"/>
  <c r="EB34" i="1"/>
  <c r="EI34" i="1"/>
  <c r="EA34" i="1"/>
  <c r="EL34" i="1"/>
  <c r="EH34" i="1"/>
  <c r="DZ34" i="1"/>
  <c r="CL27" i="1" l="1"/>
  <c r="CU27" i="1"/>
  <c r="CQ27" i="1"/>
  <c r="CS27" i="1"/>
  <c r="CX27" i="1"/>
  <c r="DE27" i="1"/>
  <c r="CJ27" i="1"/>
  <c r="DG27" i="1"/>
  <c r="CN27" i="1"/>
  <c r="CZ27" i="1"/>
  <c r="DB27" i="1"/>
  <c r="CS26" i="1"/>
  <c r="CX26" i="1"/>
  <c r="CU26" i="1"/>
  <c r="CQ26" i="1"/>
  <c r="DX5" i="1"/>
  <c r="DY5" i="1"/>
  <c r="DX17" i="1"/>
  <c r="DY17" i="1"/>
  <c r="DX6" i="1"/>
  <c r="DY6" i="1"/>
  <c r="DX14" i="1"/>
  <c r="DY14" i="1"/>
  <c r="DY7" i="1"/>
  <c r="DX7" i="1"/>
  <c r="DX12" i="1"/>
  <c r="DY12" i="1"/>
  <c r="DX10" i="1"/>
  <c r="DY10" i="1"/>
  <c r="DY11" i="1"/>
  <c r="DX11" i="1"/>
  <c r="DX8" i="1"/>
  <c r="DY8" i="1"/>
  <c r="DX16" i="1"/>
  <c r="DY16" i="1"/>
  <c r="DY13" i="1"/>
  <c r="DX13" i="1"/>
  <c r="DY15" i="1"/>
  <c r="DX15" i="1"/>
  <c r="DY9" i="1"/>
  <c r="DX9" i="1"/>
  <c r="DX18" i="1"/>
  <c r="DY18" i="1"/>
  <c r="DY19" i="1"/>
  <c r="DX19" i="1"/>
</calcChain>
</file>

<file path=xl/sharedStrings.xml><?xml version="1.0" encoding="utf-8"?>
<sst xmlns="http://schemas.openxmlformats.org/spreadsheetml/2006/main" count="422" uniqueCount="149">
  <si>
    <t>Spor Toto</t>
  </si>
  <si>
    <t>Veri Girişi</t>
  </si>
  <si>
    <t>Sıralama</t>
  </si>
  <si>
    <t>Oynanma</t>
  </si>
  <si>
    <t>Oynanma Simü.</t>
  </si>
  <si>
    <t>Sıralama Simü.</t>
  </si>
  <si>
    <t>O</t>
  </si>
  <si>
    <t>Genel</t>
  </si>
  <si>
    <t>FPS</t>
  </si>
  <si>
    <t>Simülasyon</t>
  </si>
  <si>
    <t>Alanyaspor</t>
  </si>
  <si>
    <t>Beşiktaş A.Ş.</t>
  </si>
  <si>
    <t>Fenerbahçe A.Ş.</t>
  </si>
  <si>
    <t>Malatyaspor</t>
  </si>
  <si>
    <t>M.Başakşehir</t>
  </si>
  <si>
    <t>Gaziantep F.K. A.Ş.</t>
  </si>
  <si>
    <t>Kayserispor</t>
  </si>
  <si>
    <t>Trabzonspor A.Ş.</t>
  </si>
  <si>
    <t>Kasımpaşa A.Ş.</t>
  </si>
  <si>
    <t>Hatayspor</t>
  </si>
  <si>
    <t>Fatih Karagümrük</t>
  </si>
  <si>
    <t>Rizespor</t>
  </si>
  <si>
    <t>Göztepe</t>
  </si>
  <si>
    <t>MKE Ankaragücü</t>
  </si>
  <si>
    <t>Konyaspor</t>
  </si>
  <si>
    <t>Sivasspor</t>
  </si>
  <si>
    <t>Antalyaspor</t>
  </si>
  <si>
    <t>Bayern Münih</t>
  </si>
  <si>
    <t>M. United</t>
  </si>
  <si>
    <t>Manchester City</t>
  </si>
  <si>
    <t>Atletico Madrid</t>
  </si>
  <si>
    <t>Barcelona</t>
  </si>
  <si>
    <t>H</t>
  </si>
  <si>
    <t>Ev Sahibi</t>
  </si>
  <si>
    <t>Deplasman</t>
  </si>
  <si>
    <t>S</t>
  </si>
  <si>
    <t>1O</t>
  </si>
  <si>
    <t>0O</t>
  </si>
  <si>
    <t>2O</t>
  </si>
  <si>
    <t>SO</t>
  </si>
  <si>
    <t>1S</t>
  </si>
  <si>
    <t>0S</t>
  </si>
  <si>
    <t>2S</t>
  </si>
  <si>
    <t>SS</t>
  </si>
  <si>
    <t>1F</t>
  </si>
  <si>
    <t>0F</t>
  </si>
  <si>
    <t>2F</t>
  </si>
  <si>
    <t>P</t>
  </si>
  <si>
    <t>F</t>
  </si>
  <si>
    <t>Galatasaray A.Ş.</t>
  </si>
  <si>
    <t>Arsenal</t>
  </si>
  <si>
    <t>Tottenham</t>
  </si>
  <si>
    <t>B. Leverkusen</t>
  </si>
  <si>
    <t>Liverpool</t>
  </si>
  <si>
    <t>.</t>
  </si>
  <si>
    <t>1X2</t>
  </si>
  <si>
    <t>Mak</t>
  </si>
  <si>
    <t>Min</t>
  </si>
  <si>
    <t>Yinelenen</t>
  </si>
  <si>
    <t>AC Milan</t>
  </si>
  <si>
    <t>AS Roma</t>
  </si>
  <si>
    <t>Inter</t>
  </si>
  <si>
    <t>Simü. Ve</t>
  </si>
  <si>
    <t>Simü. Veya</t>
  </si>
  <si>
    <t>%</t>
  </si>
  <si>
    <t>Hafta</t>
  </si>
  <si>
    <t>Takımlar</t>
  </si>
  <si>
    <t>Haf.</t>
  </si>
  <si>
    <t>Tutan</t>
  </si>
  <si>
    <t>1G</t>
  </si>
  <si>
    <t>0G</t>
  </si>
  <si>
    <t>2G</t>
  </si>
  <si>
    <t>FG</t>
  </si>
  <si>
    <t>PG</t>
  </si>
  <si>
    <t>SG</t>
  </si>
  <si>
    <t>1Y</t>
  </si>
  <si>
    <t>0Y</t>
  </si>
  <si>
    <t>2Y</t>
  </si>
  <si>
    <t>1FG</t>
  </si>
  <si>
    <t>0FG</t>
  </si>
  <si>
    <t>2FG</t>
  </si>
  <si>
    <t>FPS Oynanma</t>
  </si>
  <si>
    <t>F Gelme</t>
  </si>
  <si>
    <t>Atalanta</t>
  </si>
  <si>
    <t xml:space="preserve">Sıra Göre Gelme </t>
  </si>
  <si>
    <t>West Ham</t>
  </si>
  <si>
    <t>İkramiye</t>
  </si>
  <si>
    <t xml:space="preserve">Kup. </t>
  </si>
  <si>
    <t>Napoli</t>
  </si>
  <si>
    <t>Sevilla</t>
  </si>
  <si>
    <t>XF</t>
  </si>
  <si>
    <t>9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</si>
  <si>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</si>
  <si>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</si>
  <si>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</si>
  <si>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</si>
  <si>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</si>
  <si>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</si>
  <si>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</si>
  <si>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</si>
  <si>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</si>
  <si>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11</t>
  </si>
  <si>
    <t>12</t>
  </si>
  <si>
    <t>13</t>
  </si>
  <si>
    <t>14</t>
  </si>
  <si>
    <t>15</t>
  </si>
  <si>
    <t>1FPS</t>
  </si>
  <si>
    <t>0FPS</t>
  </si>
  <si>
    <t>2FPS</t>
  </si>
  <si>
    <t>SFPS</t>
  </si>
  <si>
    <t>Fiorentina</t>
  </si>
  <si>
    <t>Standart</t>
  </si>
  <si>
    <t>Dinamik</t>
  </si>
  <si>
    <t>Adana Demirspor A.Ş.</t>
  </si>
  <si>
    <t>Giresunspor</t>
  </si>
  <si>
    <t>Altay</t>
  </si>
  <si>
    <t>Nice</t>
  </si>
  <si>
    <t>Formüller</t>
  </si>
  <si>
    <t>Giriş</t>
  </si>
  <si>
    <t>Paris Saint Germain</t>
  </si>
  <si>
    <t>Veri Giriş</t>
  </si>
  <si>
    <t>Ümraniyespor</t>
  </si>
  <si>
    <t>Mallorca</t>
  </si>
  <si>
    <t>Max</t>
  </si>
  <si>
    <t>Sütun21</t>
  </si>
  <si>
    <t>Sütun22</t>
  </si>
  <si>
    <t>Sütun23</t>
  </si>
  <si>
    <t>Sütun24</t>
  </si>
  <si>
    <t>Sütun25</t>
  </si>
  <si>
    <t>Sütun26</t>
  </si>
  <si>
    <t>Sütun27</t>
  </si>
  <si>
    <t>Sütun28</t>
  </si>
  <si>
    <t>Sütun29</t>
  </si>
  <si>
    <t>Sütun30</t>
  </si>
  <si>
    <t>Sütun31</t>
  </si>
  <si>
    <t>Sütun32</t>
  </si>
  <si>
    <t>Sütun33</t>
  </si>
  <si>
    <t>Sütun34</t>
  </si>
  <si>
    <t>İstatistik</t>
  </si>
  <si>
    <t>Sıralama filitre</t>
  </si>
  <si>
    <t>Istanbulspor A.Ş.</t>
  </si>
  <si>
    <t>Manchester United</t>
  </si>
  <si>
    <t>Yinelenen_bul</t>
  </si>
  <si>
    <t>EĞER(E8="";"";ALTTOPLAM(3;E8:E10))</t>
  </si>
  <si>
    <t>Filitre sonrası hücre sayma</t>
  </si>
  <si>
    <t>+</t>
  </si>
  <si>
    <t>-</t>
  </si>
  <si>
    <t>d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</si>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</sst>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₺_-;\-* #,##0.00\ _₺_-;_-* &quot;-&quot;??\ _₺_-;_-@_-"/>
  </numFmts>
  <fonts count="28" x14ac:knownFonts="1">
    <font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0"/>
      <color theme="0"/>
      <name val="Calibri"/>
      <family val="2"/>
      <charset val="162"/>
      <scheme val="minor"/>
    </font>
    <font>
      <sz val="10"/>
      <color theme="1"/>
      <name val="Calibri"/>
      <family val="2"/>
      <charset val="162"/>
      <scheme val="minor"/>
    </font>
    <font>
      <sz val="10"/>
      <name val="Calibri"/>
      <family val="2"/>
      <charset val="162"/>
      <scheme val="minor"/>
    </font>
    <font>
      <sz val="10"/>
      <color theme="0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8"/>
      <color theme="0"/>
      <name val="Calibri"/>
      <family val="2"/>
      <charset val="162"/>
      <scheme val="minor"/>
    </font>
    <font>
      <b/>
      <sz val="9"/>
      <color theme="0"/>
      <name val="Calibri"/>
      <family val="2"/>
      <charset val="162"/>
      <scheme val="minor"/>
    </font>
    <font>
      <b/>
      <sz val="13"/>
      <color theme="0"/>
      <name val="Calibri"/>
      <family val="2"/>
      <charset val="162"/>
      <scheme val="minor"/>
    </font>
    <font>
      <b/>
      <sz val="10"/>
      <name val="Calibri"/>
      <family val="2"/>
      <charset val="162"/>
      <scheme val="minor"/>
    </font>
    <font>
      <b/>
      <sz val="10"/>
      <color rgb="FFC00000"/>
      <name val="Calibri"/>
      <family val="2"/>
      <charset val="162"/>
      <scheme val="minor"/>
    </font>
    <font>
      <b/>
      <sz val="10"/>
      <color theme="1"/>
      <name val="Calibri"/>
      <family val="2"/>
      <charset val="162"/>
      <scheme val="minor"/>
    </font>
    <font>
      <b/>
      <sz val="10"/>
      <color theme="1" tint="0.34998626667073579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C00000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b/>
      <sz val="9"/>
      <color rgb="FFC00000"/>
      <name val="Calibri"/>
      <family val="2"/>
      <charset val="162"/>
      <scheme val="minor"/>
    </font>
    <font>
      <b/>
      <sz val="9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10"/>
      <color theme="1" tint="0.249977111117893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b/>
      <sz val="8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b/>
      <sz val="10"/>
      <color theme="3" tint="-0.499984740745262"/>
      <name val="Calibri"/>
      <family val="2"/>
      <charset val="162"/>
      <scheme val="minor"/>
    </font>
    <font>
      <b/>
      <sz val="10"/>
      <color theme="0"/>
      <name val="Wingdings"/>
      <charset val="2"/>
    </font>
    <font>
      <b/>
      <sz val="9"/>
      <color theme="0"/>
      <name val="Wingdings"/>
      <charset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90">
        <stop position="0">
          <color theme="6" tint="0.59999389629810485"/>
        </stop>
        <stop position="1">
          <color theme="0" tint="-0.49803155613879818"/>
        </stop>
      </gradientFill>
    </fill>
    <fill>
      <gradientFill degree="90">
        <stop position="0">
          <color theme="0" tint="-0.34900967436750391"/>
        </stop>
        <stop position="1">
          <color theme="1"/>
        </stop>
      </gradientFill>
    </fill>
    <fill>
      <gradientFill degree="90">
        <stop position="0">
          <color theme="8" tint="0.80001220740379042"/>
        </stop>
        <stop position="1">
          <color theme="0" tint="-0.49803155613879818"/>
        </stop>
      </gradientFill>
    </fill>
    <fill>
      <gradientFill degree="90">
        <stop position="0">
          <color theme="0" tint="-0.25098422193060094"/>
        </stop>
        <stop position="1">
          <color rgb="FFFF0000"/>
        </stop>
      </gradientFill>
    </fill>
    <fill>
      <gradientFill degree="90">
        <stop position="0">
          <color theme="0" tint="-0.49803155613879818"/>
        </stop>
        <stop position="1">
          <color theme="1"/>
        </stop>
      </gradientFill>
    </fill>
    <fill>
      <patternFill patternType="solid">
        <fgColor theme="0" tint="-0.2499465926084170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1"/>
        <bgColor auto="1"/>
      </patternFill>
    </fill>
    <fill>
      <gradientFill degree="90">
        <stop position="0">
          <color theme="2" tint="-9.8025452436902985E-2"/>
        </stop>
        <stop position="1">
          <color theme="0" tint="-0.49803155613879818"/>
        </stop>
      </gradientFill>
    </fill>
  </fills>
  <borders count="129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6" tint="0.59996337778862885"/>
      </right>
      <top style="medium">
        <color theme="0"/>
      </top>
      <bottom style="thin">
        <color theme="6" tint="0.59996337778862885"/>
      </bottom>
      <diagonal/>
    </border>
    <border>
      <left style="thin">
        <color theme="6" tint="0.59996337778862885"/>
      </left>
      <right style="thin">
        <color theme="6" tint="0.59996337778862885"/>
      </right>
      <top style="medium">
        <color theme="0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medium">
        <color theme="0"/>
      </top>
      <bottom style="thin">
        <color theme="6" tint="0.59996337778862885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medium">
        <color theme="0"/>
      </left>
      <right style="thin">
        <color theme="6" tint="0.59996337778862885"/>
      </right>
      <top style="thin">
        <color theme="6" tint="0.59996337778862885"/>
      </top>
      <bottom style="medium">
        <color theme="0"/>
      </bottom>
      <diagonal/>
    </border>
    <border>
      <left style="thin">
        <color theme="6" tint="0.59996337778862885"/>
      </left>
      <right style="medium">
        <color theme="0"/>
      </right>
      <top style="thin">
        <color theme="6" tint="0.59996337778862885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theme="0"/>
      </left>
      <right/>
      <top/>
      <bottom style="thin">
        <color theme="0"/>
      </bottom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/>
      <diagonal/>
    </border>
    <border>
      <left style="medium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ck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thin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medium">
        <color theme="0"/>
      </right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medium">
        <color theme="0"/>
      </bottom>
      <diagonal/>
    </border>
    <border>
      <left/>
      <right style="thick">
        <color theme="0"/>
      </right>
      <top/>
      <bottom style="medium">
        <color theme="0"/>
      </bottom>
      <diagonal/>
    </border>
    <border>
      <left style="thick">
        <color theme="0"/>
      </left>
      <right style="thin">
        <color theme="6" tint="0.59996337778862885"/>
      </right>
      <top style="medium">
        <color theme="0"/>
      </top>
      <bottom style="thin">
        <color theme="6" tint="0.59996337778862885"/>
      </bottom>
      <diagonal/>
    </border>
    <border>
      <left style="thin">
        <color theme="6" tint="0.59996337778862885"/>
      </left>
      <right style="thick">
        <color theme="0"/>
      </right>
      <top style="medium">
        <color theme="0"/>
      </top>
      <bottom style="thin">
        <color theme="6" tint="0.59996337778862885"/>
      </bottom>
      <diagonal/>
    </border>
    <border>
      <left style="thick">
        <color theme="0"/>
      </left>
      <right style="thin">
        <color theme="6" tint="0.59996337778862885"/>
      </right>
      <top style="thin">
        <color theme="6" tint="0.59996337778862885"/>
      </top>
      <bottom style="thin">
        <color theme="6" tint="0.59996337778862885"/>
      </bottom>
      <diagonal/>
    </border>
    <border>
      <left style="thin">
        <color theme="6" tint="0.59996337778862885"/>
      </left>
      <right style="thick">
        <color theme="0"/>
      </right>
      <top style="thin">
        <color theme="6" tint="0.59996337778862885"/>
      </top>
      <bottom style="thin">
        <color theme="6" tint="0.59996337778862885"/>
      </bottom>
      <diagonal/>
    </border>
    <border>
      <left style="thick">
        <color theme="0"/>
      </left>
      <right style="thin">
        <color theme="6" tint="0.59996337778862885"/>
      </right>
      <top style="thin">
        <color theme="6" tint="0.59996337778862885"/>
      </top>
      <bottom style="thick">
        <color theme="0"/>
      </bottom>
      <diagonal/>
    </border>
    <border>
      <left style="thin">
        <color theme="6" tint="0.59996337778862885"/>
      </left>
      <right style="thin">
        <color theme="6" tint="0.59996337778862885"/>
      </right>
      <top style="thin">
        <color theme="6" tint="0.59996337778862885"/>
      </top>
      <bottom style="thick">
        <color theme="0"/>
      </bottom>
      <diagonal/>
    </border>
    <border>
      <left style="thin">
        <color theme="6" tint="0.59996337778862885"/>
      </left>
      <right style="thick">
        <color theme="0"/>
      </right>
      <top style="thin">
        <color theme="6" tint="0.59996337778862885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2"/>
      </left>
      <right style="thick">
        <color theme="0"/>
      </right>
      <top style="thin">
        <color theme="2"/>
      </top>
      <bottom style="thin">
        <color theme="2"/>
      </bottom>
      <diagonal/>
    </border>
    <border>
      <left style="thick">
        <color theme="0"/>
      </left>
      <right/>
      <top style="thin">
        <color theme="2"/>
      </top>
      <bottom style="thin">
        <color theme="2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medium">
        <color theme="0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theme="0"/>
      </right>
      <top style="thin">
        <color theme="2"/>
      </top>
      <bottom style="thin">
        <color theme="2"/>
      </bottom>
      <diagonal/>
    </border>
    <border>
      <left style="medium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 style="medium">
        <color theme="0"/>
      </right>
      <top style="thick">
        <color theme="0"/>
      </top>
      <bottom/>
      <diagonal/>
    </border>
    <border>
      <left style="medium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medium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/>
      <right style="medium">
        <color theme="0"/>
      </right>
      <top style="thick">
        <color theme="0"/>
      </top>
      <bottom style="medium">
        <color theme="0"/>
      </bottom>
      <diagonal/>
    </border>
    <border>
      <left/>
      <right style="thick">
        <color theme="0"/>
      </right>
      <top style="thick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theme="0"/>
      </left>
      <right/>
      <top style="thick">
        <color theme="0"/>
      </top>
      <bottom/>
      <diagonal/>
    </border>
    <border>
      <left/>
      <right style="medium">
        <color theme="0"/>
      </right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theme="1" tint="0.499984740745262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1" tint="0.499984740745262"/>
      </right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1" tint="0.499984740745262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1" tint="0.499984740745262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29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left" vertical="center"/>
    </xf>
    <xf numFmtId="0" fontId="4" fillId="5" borderId="9" xfId="0" applyFont="1" applyFill="1" applyBorder="1" applyAlignment="1">
      <alignment horizontal="left" vertical="center"/>
    </xf>
    <xf numFmtId="0" fontId="11" fillId="5" borderId="25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2" xfId="0" applyFont="1" applyFill="1" applyBorder="1" applyAlignment="1">
      <alignment horizontal="center" vertical="center"/>
    </xf>
    <xf numFmtId="0" fontId="12" fillId="3" borderId="2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Continuous" vertical="center"/>
    </xf>
    <xf numFmtId="0" fontId="7" fillId="7" borderId="4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Continuous" vertical="center"/>
    </xf>
    <xf numFmtId="0" fontId="5" fillId="7" borderId="2" xfId="0" applyFont="1" applyFill="1" applyBorder="1" applyAlignment="1">
      <alignment horizontal="centerContinuous" vertical="center"/>
    </xf>
    <xf numFmtId="0" fontId="5" fillId="7" borderId="1" xfId="0" applyFont="1" applyFill="1" applyBorder="1" applyAlignment="1">
      <alignment horizontal="centerContinuous" vertical="center"/>
    </xf>
    <xf numFmtId="0" fontId="8" fillId="7" borderId="13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Continuous" vertical="center"/>
    </xf>
    <xf numFmtId="0" fontId="7" fillId="7" borderId="3" xfId="0" applyFont="1" applyFill="1" applyBorder="1" applyAlignment="1">
      <alignment horizontal="centerContinuous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34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Continuous" vertical="center"/>
    </xf>
    <xf numFmtId="0" fontId="2" fillId="7" borderId="3" xfId="0" applyFont="1" applyFill="1" applyBorder="1" applyAlignment="1">
      <alignment horizontal="centerContinuous" vertical="center"/>
    </xf>
    <xf numFmtId="0" fontId="2" fillId="7" borderId="39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0" fontId="2" fillId="7" borderId="4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7" fillId="7" borderId="33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10" fillId="3" borderId="37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Continuous" vertical="center"/>
    </xf>
    <xf numFmtId="0" fontId="12" fillId="3" borderId="26" xfId="0" applyFont="1" applyFill="1" applyBorder="1" applyAlignment="1">
      <alignment horizontal="center" vertical="center"/>
    </xf>
    <xf numFmtId="0" fontId="12" fillId="3" borderId="2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5" fillId="3" borderId="26" xfId="0" applyFont="1" applyFill="1" applyBorder="1" applyAlignment="1">
      <alignment horizontal="center" vertical="center"/>
    </xf>
    <xf numFmtId="0" fontId="15" fillId="3" borderId="28" xfId="0" applyFont="1" applyFill="1" applyBorder="1" applyAlignment="1">
      <alignment horizontal="center" vertical="center"/>
    </xf>
    <xf numFmtId="0" fontId="15" fillId="3" borderId="27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3" borderId="12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12" fillId="3" borderId="15" xfId="0" applyFont="1" applyFill="1" applyBorder="1" applyAlignment="1">
      <alignment horizontal="center" vertical="center"/>
    </xf>
    <xf numFmtId="0" fontId="19" fillId="3" borderId="19" xfId="0" applyFont="1" applyFill="1" applyBorder="1" applyAlignment="1">
      <alignment horizontal="center" vertical="center"/>
    </xf>
    <xf numFmtId="0" fontId="19" fillId="3" borderId="21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4" fillId="3" borderId="28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7" fillId="7" borderId="33" xfId="0" applyFont="1" applyFill="1" applyBorder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10" borderId="4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4" fillId="5" borderId="51" xfId="0" applyFont="1" applyFill="1" applyBorder="1" applyAlignment="1">
      <alignment horizontal="left" vertical="center"/>
    </xf>
    <xf numFmtId="0" fontId="2" fillId="4" borderId="54" xfId="0" applyFont="1" applyFill="1" applyBorder="1" applyAlignment="1">
      <alignment horizontal="center" vertical="center"/>
    </xf>
    <xf numFmtId="0" fontId="4" fillId="5" borderId="55" xfId="0" applyFont="1" applyFill="1" applyBorder="1" applyAlignment="1">
      <alignment horizontal="left" vertical="center"/>
    </xf>
    <xf numFmtId="0" fontId="4" fillId="5" borderId="56" xfId="0" applyFont="1" applyFill="1" applyBorder="1" applyAlignment="1">
      <alignment horizontal="left" vertical="center"/>
    </xf>
    <xf numFmtId="0" fontId="11" fillId="5" borderId="57" xfId="0" applyFont="1" applyFill="1" applyBorder="1" applyAlignment="1">
      <alignment horizontal="center" vertical="center"/>
    </xf>
    <xf numFmtId="0" fontId="4" fillId="5" borderId="55" xfId="0" applyFont="1" applyFill="1" applyBorder="1" applyAlignment="1">
      <alignment horizontal="center" vertical="center"/>
    </xf>
    <xf numFmtId="0" fontId="4" fillId="5" borderId="46" xfId="0" applyFont="1" applyFill="1" applyBorder="1" applyAlignment="1">
      <alignment horizontal="center" vertical="center"/>
    </xf>
    <xf numFmtId="0" fontId="4" fillId="5" borderId="56" xfId="0" applyFont="1" applyFill="1" applyBorder="1" applyAlignment="1">
      <alignment horizontal="center" vertical="center"/>
    </xf>
    <xf numFmtId="0" fontId="11" fillId="5" borderId="58" xfId="0" applyFont="1" applyFill="1" applyBorder="1" applyAlignment="1">
      <alignment horizontal="center" vertical="center"/>
    </xf>
    <xf numFmtId="0" fontId="2" fillId="4" borderId="59" xfId="0" applyFont="1" applyFill="1" applyBorder="1" applyAlignment="1">
      <alignment horizontal="center" vertical="center"/>
    </xf>
    <xf numFmtId="0" fontId="11" fillId="5" borderId="60" xfId="0" applyFont="1" applyFill="1" applyBorder="1" applyAlignment="1">
      <alignment horizontal="center" vertical="center"/>
    </xf>
    <xf numFmtId="0" fontId="2" fillId="4" borderId="61" xfId="0" applyFont="1" applyFill="1" applyBorder="1" applyAlignment="1">
      <alignment horizontal="center" vertical="center"/>
    </xf>
    <xf numFmtId="0" fontId="4" fillId="5" borderId="53" xfId="0" applyFont="1" applyFill="1" applyBorder="1" applyAlignment="1">
      <alignment horizontal="left" vertical="center"/>
    </xf>
    <xf numFmtId="0" fontId="11" fillId="5" borderId="62" xfId="0" applyFont="1" applyFill="1" applyBorder="1" applyAlignment="1">
      <alignment horizontal="center" vertical="center"/>
    </xf>
    <xf numFmtId="0" fontId="4" fillId="5" borderId="51" xfId="0" applyFont="1" applyFill="1" applyBorder="1" applyAlignment="1">
      <alignment horizontal="center" vertical="center"/>
    </xf>
    <xf numFmtId="0" fontId="4" fillId="5" borderId="52" xfId="0" applyFont="1" applyFill="1" applyBorder="1" applyAlignment="1">
      <alignment horizontal="center" vertical="center"/>
    </xf>
    <xf numFmtId="0" fontId="4" fillId="5" borderId="53" xfId="0" applyFont="1" applyFill="1" applyBorder="1" applyAlignment="1">
      <alignment horizontal="center" vertical="center"/>
    </xf>
    <xf numFmtId="0" fontId="11" fillId="5" borderId="63" xfId="0" applyFont="1" applyFill="1" applyBorder="1" applyAlignment="1">
      <alignment horizontal="center" vertical="center"/>
    </xf>
    <xf numFmtId="0" fontId="8" fillId="7" borderId="64" xfId="0" applyFont="1" applyFill="1" applyBorder="1" applyAlignment="1">
      <alignment horizontal="centerContinuous" vertical="center"/>
    </xf>
    <xf numFmtId="0" fontId="8" fillId="7" borderId="65" xfId="0" applyFont="1" applyFill="1" applyBorder="1" applyAlignment="1">
      <alignment horizontal="centerContinuous" vertical="center"/>
    </xf>
    <xf numFmtId="0" fontId="8" fillId="7" borderId="66" xfId="0" applyFont="1" applyFill="1" applyBorder="1" applyAlignment="1">
      <alignment horizontal="centerContinuous" vertical="center"/>
    </xf>
    <xf numFmtId="0" fontId="7" fillId="7" borderId="67" xfId="0" applyFont="1" applyFill="1" applyBorder="1" applyAlignment="1">
      <alignment horizontal="center" vertical="center"/>
    </xf>
    <xf numFmtId="0" fontId="7" fillId="7" borderId="68" xfId="0" applyFont="1" applyFill="1" applyBorder="1" applyAlignment="1">
      <alignment horizontal="center" vertical="center"/>
    </xf>
    <xf numFmtId="0" fontId="3" fillId="3" borderId="69" xfId="0" applyFont="1" applyFill="1" applyBorder="1" applyAlignment="1">
      <alignment horizontal="center" vertical="center"/>
    </xf>
    <xf numFmtId="0" fontId="3" fillId="3" borderId="70" xfId="0" applyFont="1" applyFill="1" applyBorder="1" applyAlignment="1">
      <alignment horizontal="center" vertical="center"/>
    </xf>
    <xf numFmtId="0" fontId="3" fillId="3" borderId="71" xfId="0" applyFont="1" applyFill="1" applyBorder="1" applyAlignment="1">
      <alignment horizontal="center" vertical="center"/>
    </xf>
    <xf numFmtId="0" fontId="3" fillId="3" borderId="72" xfId="0" applyFont="1" applyFill="1" applyBorder="1" applyAlignment="1">
      <alignment horizontal="center" vertical="center"/>
    </xf>
    <xf numFmtId="0" fontId="3" fillId="3" borderId="73" xfId="0" applyFont="1" applyFill="1" applyBorder="1" applyAlignment="1">
      <alignment horizontal="center" vertical="center"/>
    </xf>
    <xf numFmtId="0" fontId="3" fillId="3" borderId="74" xfId="0" applyFont="1" applyFill="1" applyBorder="1" applyAlignment="1">
      <alignment horizontal="center" vertical="center"/>
    </xf>
    <xf numFmtId="0" fontId="3" fillId="3" borderId="75" xfId="0" applyFont="1" applyFill="1" applyBorder="1" applyAlignment="1">
      <alignment horizontal="center" vertical="center"/>
    </xf>
    <xf numFmtId="0" fontId="8" fillId="7" borderId="67" xfId="0" applyFont="1" applyFill="1" applyBorder="1" applyAlignment="1">
      <alignment horizontal="center" vertical="center"/>
    </xf>
    <xf numFmtId="0" fontId="22" fillId="3" borderId="69" xfId="0" applyFont="1" applyFill="1" applyBorder="1" applyAlignment="1">
      <alignment horizontal="center" vertical="center"/>
    </xf>
    <xf numFmtId="0" fontId="19" fillId="3" borderId="70" xfId="0" applyFont="1" applyFill="1" applyBorder="1" applyAlignment="1">
      <alignment horizontal="center" vertical="center"/>
    </xf>
    <xf numFmtId="0" fontId="22" fillId="3" borderId="71" xfId="0" applyFont="1" applyFill="1" applyBorder="1" applyAlignment="1">
      <alignment horizontal="center" vertical="center"/>
    </xf>
    <xf numFmtId="0" fontId="19" fillId="3" borderId="72" xfId="0" applyFont="1" applyFill="1" applyBorder="1" applyAlignment="1">
      <alignment horizontal="center" vertical="center"/>
    </xf>
    <xf numFmtId="0" fontId="22" fillId="3" borderId="73" xfId="0" applyFont="1" applyFill="1" applyBorder="1" applyAlignment="1">
      <alignment horizontal="center" vertical="center"/>
    </xf>
    <xf numFmtId="0" fontId="19" fillId="3" borderId="74" xfId="0" applyFont="1" applyFill="1" applyBorder="1" applyAlignment="1">
      <alignment horizontal="center" vertical="center"/>
    </xf>
    <xf numFmtId="0" fontId="19" fillId="3" borderId="75" xfId="0" applyFont="1" applyFill="1" applyBorder="1" applyAlignment="1">
      <alignment horizontal="center" vertical="center"/>
    </xf>
    <xf numFmtId="0" fontId="7" fillId="7" borderId="76" xfId="0" applyFont="1" applyFill="1" applyBorder="1" applyAlignment="1">
      <alignment horizontal="center" vertical="center"/>
    </xf>
    <xf numFmtId="0" fontId="7" fillId="7" borderId="77" xfId="0" applyFont="1" applyFill="1" applyBorder="1" applyAlignment="1">
      <alignment horizontal="center" vertical="center"/>
    </xf>
    <xf numFmtId="0" fontId="7" fillId="7" borderId="78" xfId="0" applyFont="1" applyFill="1" applyBorder="1" applyAlignment="1">
      <alignment horizontal="center" vertical="center"/>
    </xf>
    <xf numFmtId="0" fontId="10" fillId="11" borderId="79" xfId="0" applyFont="1" applyFill="1" applyBorder="1" applyAlignment="1">
      <alignment horizontal="center" vertical="center"/>
    </xf>
    <xf numFmtId="0" fontId="25" fillId="11" borderId="80" xfId="0" applyFont="1" applyFill="1" applyBorder="1" applyAlignment="1">
      <alignment horizontal="center" vertical="center"/>
    </xf>
    <xf numFmtId="0" fontId="7" fillId="7" borderId="84" xfId="0" applyFont="1" applyFill="1" applyBorder="1" applyAlignment="1">
      <alignment horizontal="centerContinuous" vertical="center"/>
    </xf>
    <xf numFmtId="0" fontId="7" fillId="7" borderId="85" xfId="0" applyFont="1" applyFill="1" applyBorder="1" applyAlignment="1">
      <alignment horizontal="centerContinuous" vertical="center"/>
    </xf>
    <xf numFmtId="0" fontId="10" fillId="11" borderId="86" xfId="0" applyFont="1" applyFill="1" applyBorder="1" applyAlignment="1">
      <alignment horizontal="center" vertical="center"/>
    </xf>
    <xf numFmtId="0" fontId="10" fillId="11" borderId="87" xfId="0" applyFont="1" applyFill="1" applyBorder="1" applyAlignment="1">
      <alignment horizontal="center" vertical="center"/>
    </xf>
    <xf numFmtId="0" fontId="10" fillId="11" borderId="88" xfId="0" applyFont="1" applyFill="1" applyBorder="1" applyAlignment="1">
      <alignment horizontal="center" vertical="center"/>
    </xf>
    <xf numFmtId="0" fontId="10" fillId="11" borderId="89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12" fillId="8" borderId="90" xfId="0" applyFont="1" applyFill="1" applyBorder="1" applyAlignment="1">
      <alignment horizontal="center" vertical="center"/>
    </xf>
    <xf numFmtId="0" fontId="12" fillId="8" borderId="91" xfId="0" applyFont="1" applyFill="1" applyBorder="1" applyAlignment="1">
      <alignment horizontal="center" vertical="center"/>
    </xf>
    <xf numFmtId="0" fontId="12" fillId="9" borderId="90" xfId="0" applyFont="1" applyFill="1" applyBorder="1" applyAlignment="1">
      <alignment horizontal="center" vertical="center"/>
    </xf>
    <xf numFmtId="0" fontId="12" fillId="9" borderId="9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2" fillId="8" borderId="93" xfId="0" applyFont="1" applyFill="1" applyBorder="1" applyAlignment="1">
      <alignment horizontal="center" vertical="center"/>
    </xf>
    <xf numFmtId="0" fontId="12" fillId="8" borderId="94" xfId="0" applyFont="1" applyFill="1" applyBorder="1" applyAlignment="1">
      <alignment horizontal="center" vertical="center"/>
    </xf>
    <xf numFmtId="0" fontId="12" fillId="8" borderId="95" xfId="0" applyFont="1" applyFill="1" applyBorder="1" applyAlignment="1">
      <alignment horizontal="center" vertical="center"/>
    </xf>
    <xf numFmtId="0" fontId="12" fillId="8" borderId="96" xfId="0" applyFont="1" applyFill="1" applyBorder="1" applyAlignment="1">
      <alignment horizontal="center" vertical="center"/>
    </xf>
    <xf numFmtId="0" fontId="2" fillId="7" borderId="64" xfId="0" applyFont="1" applyFill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Continuous" vertical="center"/>
    </xf>
    <xf numFmtId="0" fontId="2" fillId="7" borderId="98" xfId="0" applyFont="1" applyFill="1" applyBorder="1" applyAlignment="1">
      <alignment horizontal="centerContinuous" vertical="center"/>
    </xf>
    <xf numFmtId="0" fontId="2" fillId="7" borderId="99" xfId="0" applyFont="1" applyFill="1" applyBorder="1" applyAlignment="1">
      <alignment horizontal="centerContinuous" vertical="center"/>
    </xf>
    <xf numFmtId="0" fontId="2" fillId="7" borderId="100" xfId="0" applyFont="1" applyFill="1" applyBorder="1" applyAlignment="1">
      <alignment horizontal="centerContinuous" vertical="center"/>
    </xf>
    <xf numFmtId="0" fontId="3" fillId="2" borderId="92" xfId="0" applyFont="1" applyFill="1" applyBorder="1" applyAlignment="1">
      <alignment horizontal="center" vertical="center"/>
    </xf>
    <xf numFmtId="0" fontId="3" fillId="7" borderId="42" xfId="0" applyFont="1" applyFill="1" applyBorder="1" applyAlignment="1">
      <alignment horizontal="left"/>
    </xf>
    <xf numFmtId="0" fontId="3" fillId="7" borderId="16" xfId="0" applyFont="1" applyFill="1" applyBorder="1" applyAlignment="1">
      <alignment horizontal="left"/>
    </xf>
    <xf numFmtId="0" fontId="3" fillId="7" borderId="17" xfId="0" applyFont="1" applyFill="1" applyBorder="1" applyAlignment="1">
      <alignment horizontal="left"/>
    </xf>
    <xf numFmtId="0" fontId="3" fillId="7" borderId="32" xfId="0" applyFont="1" applyFill="1" applyBorder="1" applyAlignment="1">
      <alignment horizontal="left"/>
    </xf>
    <xf numFmtId="0" fontId="3" fillId="7" borderId="50" xfId="0" applyFont="1" applyFill="1" applyBorder="1" applyAlignment="1">
      <alignment horizontal="left"/>
    </xf>
    <xf numFmtId="0" fontId="8" fillId="7" borderId="102" xfId="0" applyFont="1" applyFill="1" applyBorder="1" applyAlignment="1">
      <alignment horizontal="centerContinuous" vertical="center"/>
    </xf>
    <xf numFmtId="0" fontId="8" fillId="7" borderId="77" xfId="0" applyFont="1" applyFill="1" applyBorder="1" applyAlignment="1">
      <alignment horizontal="centerContinuous" vertical="center"/>
    </xf>
    <xf numFmtId="0" fontId="8" fillId="7" borderId="103" xfId="0" applyFont="1" applyFill="1" applyBorder="1" applyAlignment="1">
      <alignment horizontal="centerContinuous" vertical="center"/>
    </xf>
    <xf numFmtId="0" fontId="8" fillId="7" borderId="104" xfId="0" applyFont="1" applyFill="1" applyBorder="1" applyAlignment="1">
      <alignment horizontal="center" vertical="center"/>
    </xf>
    <xf numFmtId="0" fontId="8" fillId="7" borderId="77" xfId="0" applyFont="1" applyFill="1" applyBorder="1" applyAlignment="1">
      <alignment horizontal="center" vertical="center"/>
    </xf>
    <xf numFmtId="0" fontId="8" fillId="7" borderId="78" xfId="0" applyFont="1" applyFill="1" applyBorder="1" applyAlignment="1">
      <alignment horizontal="center" vertical="center"/>
    </xf>
    <xf numFmtId="0" fontId="18" fillId="11" borderId="89" xfId="0" applyFont="1" applyFill="1" applyBorder="1" applyAlignment="1">
      <alignment horizontal="center" vertical="center"/>
    </xf>
    <xf numFmtId="0" fontId="3" fillId="7" borderId="49" xfId="0" applyFont="1" applyFill="1" applyBorder="1" applyAlignment="1">
      <alignment horizontal="left"/>
    </xf>
    <xf numFmtId="0" fontId="17" fillId="5" borderId="30" xfId="0" applyFont="1" applyFill="1" applyBorder="1" applyAlignment="1">
      <alignment horizontal="center" vertical="center"/>
    </xf>
    <xf numFmtId="0" fontId="4" fillId="5" borderId="31" xfId="0" applyFont="1" applyFill="1" applyBorder="1" applyAlignment="1">
      <alignment horizontal="left" vertical="center"/>
    </xf>
    <xf numFmtId="0" fontId="16" fillId="5" borderId="31" xfId="0" applyFont="1" applyFill="1" applyBorder="1" applyAlignment="1">
      <alignment horizontal="center" vertical="center"/>
    </xf>
    <xf numFmtId="0" fontId="17" fillId="5" borderId="43" xfId="0" applyFont="1" applyFill="1" applyBorder="1" applyAlignment="1">
      <alignment horizontal="center" vertical="center"/>
    </xf>
    <xf numFmtId="0" fontId="13" fillId="5" borderId="105" xfId="0" applyFont="1" applyFill="1" applyBorder="1" applyAlignment="1">
      <alignment horizontal="center" vertical="center"/>
    </xf>
    <xf numFmtId="0" fontId="13" fillId="5" borderId="106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44" xfId="0" applyFont="1" applyFill="1" applyBorder="1" applyAlignment="1">
      <alignment horizontal="center" vertical="center"/>
    </xf>
    <xf numFmtId="0" fontId="17" fillId="5" borderId="38" xfId="0" applyFont="1" applyFill="1" applyBorder="1" applyAlignment="1">
      <alignment horizontal="center" vertical="center"/>
    </xf>
    <xf numFmtId="0" fontId="16" fillId="5" borderId="35" xfId="0" applyFont="1" applyFill="1" applyBorder="1" applyAlignment="1">
      <alignment horizontal="center" vertical="center"/>
    </xf>
    <xf numFmtId="0" fontId="8" fillId="7" borderId="107" xfId="0" applyFont="1" applyFill="1" applyBorder="1" applyAlignment="1">
      <alignment horizontal="centerContinuous" vertical="center"/>
    </xf>
    <xf numFmtId="0" fontId="8" fillId="7" borderId="108" xfId="0" applyFont="1" applyFill="1" applyBorder="1" applyAlignment="1">
      <alignment horizontal="centerContinuous" vertical="center"/>
    </xf>
    <xf numFmtId="0" fontId="8" fillId="7" borderId="109" xfId="0" applyFont="1" applyFill="1" applyBorder="1" applyAlignment="1">
      <alignment horizontal="centerContinuous" vertical="center"/>
    </xf>
    <xf numFmtId="0" fontId="5" fillId="4" borderId="106" xfId="0" applyFont="1" applyFill="1" applyBorder="1" applyAlignment="1">
      <alignment horizontal="left" vertical="center"/>
    </xf>
    <xf numFmtId="0" fontId="5" fillId="4" borderId="35" xfId="0" applyFont="1" applyFill="1" applyBorder="1" applyAlignment="1">
      <alignment horizontal="left" vertical="center"/>
    </xf>
    <xf numFmtId="0" fontId="5" fillId="4" borderId="31" xfId="0" applyFont="1" applyFill="1" applyBorder="1" applyAlignment="1">
      <alignment horizontal="left" vertical="center"/>
    </xf>
    <xf numFmtId="0" fontId="5" fillId="4" borderId="38" xfId="0" applyFont="1" applyFill="1" applyBorder="1" applyAlignment="1">
      <alignment horizontal="left" vertical="center"/>
    </xf>
    <xf numFmtId="0" fontId="5" fillId="4" borderId="44" xfId="0" applyFont="1" applyFill="1" applyBorder="1" applyAlignment="1">
      <alignment horizontal="left" vertical="center"/>
    </xf>
    <xf numFmtId="0" fontId="5" fillId="4" borderId="43" xfId="0" applyFont="1" applyFill="1" applyBorder="1" applyAlignment="1">
      <alignment horizontal="left" vertical="center"/>
    </xf>
    <xf numFmtId="0" fontId="8" fillId="7" borderId="64" xfId="0" applyFont="1" applyFill="1" applyBorder="1" applyAlignment="1">
      <alignment horizontal="center" vertical="center"/>
    </xf>
    <xf numFmtId="0" fontId="8" fillId="7" borderId="107" xfId="0" applyFont="1" applyFill="1" applyBorder="1" applyAlignment="1">
      <alignment horizontal="center" vertical="center"/>
    </xf>
    <xf numFmtId="0" fontId="8" fillId="7" borderId="108" xfId="0" applyFont="1" applyFill="1" applyBorder="1" applyAlignment="1">
      <alignment horizontal="center" vertical="center"/>
    </xf>
    <xf numFmtId="0" fontId="3" fillId="7" borderId="101" xfId="0" applyFont="1" applyFill="1" applyBorder="1" applyAlignment="1">
      <alignment horizontal="left"/>
    </xf>
    <xf numFmtId="0" fontId="3" fillId="7" borderId="92" xfId="0" applyFont="1" applyFill="1" applyBorder="1" applyAlignment="1">
      <alignment horizontal="left"/>
    </xf>
    <xf numFmtId="0" fontId="3" fillId="7" borderId="0" xfId="0" applyFont="1" applyFill="1" applyBorder="1" applyAlignment="1">
      <alignment horizontal="left"/>
    </xf>
    <xf numFmtId="0" fontId="12" fillId="11" borderId="48" xfId="0" applyNumberFormat="1" applyFont="1" applyFill="1" applyBorder="1" applyAlignment="1">
      <alignment horizontal="center" vertical="center"/>
    </xf>
    <xf numFmtId="0" fontId="12" fillId="11" borderId="25" xfId="0" applyNumberFormat="1" applyFont="1" applyFill="1" applyBorder="1" applyAlignment="1">
      <alignment horizontal="center" vertical="center"/>
    </xf>
    <xf numFmtId="0" fontId="12" fillId="11" borderId="7" xfId="0" applyFont="1" applyFill="1" applyBorder="1" applyAlignment="1">
      <alignment horizontal="center" vertical="center"/>
    </xf>
    <xf numFmtId="0" fontId="12" fillId="11" borderId="8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center" vertical="center"/>
    </xf>
    <xf numFmtId="0" fontId="12" fillId="11" borderId="7" xfId="0" applyNumberFormat="1" applyFont="1" applyFill="1" applyBorder="1" applyAlignment="1">
      <alignment horizontal="center" vertical="center"/>
    </xf>
    <xf numFmtId="0" fontId="12" fillId="11" borderId="8" xfId="0" applyNumberFormat="1" applyFont="1" applyFill="1" applyBorder="1" applyAlignment="1">
      <alignment horizontal="center" vertical="center"/>
    </xf>
    <xf numFmtId="0" fontId="12" fillId="11" borderId="9" xfId="0" applyNumberFormat="1" applyFont="1" applyFill="1" applyBorder="1" applyAlignment="1">
      <alignment horizontal="center" vertical="center"/>
    </xf>
    <xf numFmtId="0" fontId="12" fillId="11" borderId="29" xfId="0" applyFont="1" applyFill="1" applyBorder="1" applyAlignment="1">
      <alignment horizontal="center" vertical="center"/>
    </xf>
    <xf numFmtId="0" fontId="12" fillId="11" borderId="47" xfId="0" applyFont="1" applyFill="1" applyBorder="1" applyAlignment="1">
      <alignment horizontal="center" vertical="center"/>
    </xf>
    <xf numFmtId="0" fontId="26" fillId="7" borderId="84" xfId="0" applyFont="1" applyFill="1" applyBorder="1" applyAlignment="1">
      <alignment horizontal="right" vertical="top"/>
    </xf>
    <xf numFmtId="0" fontId="8" fillId="7" borderId="111" xfId="0" applyFont="1" applyFill="1" applyBorder="1" applyAlignment="1">
      <alignment horizontal="center" vertical="center"/>
    </xf>
    <xf numFmtId="0" fontId="4" fillId="5" borderId="112" xfId="0" applyFont="1" applyFill="1" applyBorder="1" applyAlignment="1">
      <alignment horizontal="left" vertical="center"/>
    </xf>
    <xf numFmtId="0" fontId="16" fillId="5" borderId="47" xfId="0" applyFont="1" applyFill="1" applyBorder="1" applyAlignment="1">
      <alignment horizontal="center" vertical="center"/>
    </xf>
    <xf numFmtId="0" fontId="4" fillId="5" borderId="113" xfId="0" applyFont="1" applyFill="1" applyBorder="1" applyAlignment="1">
      <alignment horizontal="left" vertical="center"/>
    </xf>
    <xf numFmtId="0" fontId="16" fillId="5" borderId="110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17" xfId="0" applyBorder="1" applyAlignment="1">
      <alignment horizontal="centerContinuous" vertical="center"/>
    </xf>
    <xf numFmtId="0" fontId="0" fillId="0" borderId="118" xfId="0" applyBorder="1" applyAlignment="1">
      <alignment horizontal="centerContinuous" vertical="center"/>
    </xf>
    <xf numFmtId="0" fontId="0" fillId="0" borderId="119" xfId="0" applyBorder="1" applyAlignment="1">
      <alignment horizontal="centerContinuous" vertical="center"/>
    </xf>
    <xf numFmtId="0" fontId="0" fillId="0" borderId="118" xfId="0" applyBorder="1" applyAlignment="1">
      <alignment horizontal="left" vertical="center"/>
    </xf>
    <xf numFmtId="0" fontId="0" fillId="0" borderId="116" xfId="0" applyBorder="1" applyAlignment="1">
      <alignment horizontal="center" vertical="center"/>
    </xf>
    <xf numFmtId="0" fontId="27" fillId="7" borderId="84" xfId="0" applyFont="1" applyFill="1" applyBorder="1" applyAlignment="1">
      <alignment horizontal="centerContinuous" vertical="center"/>
    </xf>
    <xf numFmtId="0" fontId="27" fillId="7" borderId="85" xfId="0" applyFont="1" applyFill="1" applyBorder="1" applyAlignment="1">
      <alignment horizontal="centerContinuous" vertical="center"/>
    </xf>
    <xf numFmtId="0" fontId="12" fillId="8" borderId="121" xfId="0" applyFont="1" applyFill="1" applyBorder="1" applyAlignment="1">
      <alignment horizontal="center" vertical="center"/>
    </xf>
    <xf numFmtId="9" fontId="23" fillId="8" borderId="122" xfId="1" applyNumberFormat="1" applyFont="1" applyFill="1" applyBorder="1" applyAlignment="1">
      <alignment horizontal="center" vertical="center"/>
    </xf>
    <xf numFmtId="0" fontId="12" fillId="8" borderId="123" xfId="0" applyFont="1" applyFill="1" applyBorder="1" applyAlignment="1">
      <alignment horizontal="center" vertical="center"/>
    </xf>
    <xf numFmtId="9" fontId="23" fillId="8" borderId="124" xfId="0" applyNumberFormat="1" applyFont="1" applyFill="1" applyBorder="1" applyAlignment="1">
      <alignment horizontal="center" vertical="center"/>
    </xf>
    <xf numFmtId="0" fontId="12" fillId="8" borderId="125" xfId="0" applyFont="1" applyFill="1" applyBorder="1" applyAlignment="1">
      <alignment horizontal="center" vertical="center"/>
    </xf>
    <xf numFmtId="9" fontId="23" fillId="8" borderId="126" xfId="0" applyNumberFormat="1" applyFont="1" applyFill="1" applyBorder="1" applyAlignment="1">
      <alignment horizontal="center" vertical="center"/>
    </xf>
    <xf numFmtId="0" fontId="12" fillId="9" borderId="121" xfId="0" applyFont="1" applyFill="1" applyBorder="1" applyAlignment="1">
      <alignment horizontal="center" vertical="center"/>
    </xf>
    <xf numFmtId="9" fontId="23" fillId="9" borderId="122" xfId="0" applyNumberFormat="1" applyFont="1" applyFill="1" applyBorder="1" applyAlignment="1">
      <alignment horizontal="center" vertical="center"/>
    </xf>
    <xf numFmtId="0" fontId="12" fillId="9" borderId="123" xfId="0" applyFont="1" applyFill="1" applyBorder="1" applyAlignment="1">
      <alignment horizontal="center" vertical="center"/>
    </xf>
    <xf numFmtId="9" fontId="23" fillId="9" borderId="124" xfId="0" applyNumberFormat="1" applyFont="1" applyFill="1" applyBorder="1" applyAlignment="1">
      <alignment horizontal="center" vertical="center"/>
    </xf>
    <xf numFmtId="0" fontId="12" fillId="9" borderId="125" xfId="0" applyFont="1" applyFill="1" applyBorder="1" applyAlignment="1">
      <alignment horizontal="center" vertical="center"/>
    </xf>
    <xf numFmtId="9" fontId="23" fillId="9" borderId="126" xfId="0" applyNumberFormat="1" applyFont="1" applyFill="1" applyBorder="1" applyAlignment="1">
      <alignment horizontal="center" vertical="center"/>
    </xf>
    <xf numFmtId="9" fontId="23" fillId="8" borderId="122" xfId="0" applyNumberFormat="1" applyFont="1" applyFill="1" applyBorder="1" applyAlignment="1">
      <alignment horizontal="center" vertical="center"/>
    </xf>
    <xf numFmtId="0" fontId="8" fillId="7" borderId="120" xfId="0" applyFont="1" applyFill="1" applyBorder="1" applyAlignment="1">
      <alignment horizontal="center" vertical="center"/>
    </xf>
    <xf numFmtId="0" fontId="8" fillId="7" borderId="127" xfId="0" applyFont="1" applyFill="1" applyBorder="1" applyAlignment="1">
      <alignment horizontal="center" vertical="center"/>
    </xf>
    <xf numFmtId="0" fontId="8" fillId="7" borderId="128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12" fillId="8" borderId="122" xfId="0" applyFont="1" applyFill="1" applyBorder="1" applyAlignment="1">
      <alignment horizontal="center" vertical="center"/>
    </xf>
    <xf numFmtId="0" fontId="12" fillId="8" borderId="124" xfId="0" applyFont="1" applyFill="1" applyBorder="1" applyAlignment="1">
      <alignment horizontal="center" vertical="center"/>
    </xf>
    <xf numFmtId="0" fontId="12" fillId="8" borderId="126" xfId="0" applyFont="1" applyFill="1" applyBorder="1" applyAlignment="1">
      <alignment horizontal="center" vertical="center"/>
    </xf>
    <xf numFmtId="0" fontId="12" fillId="9" borderId="122" xfId="0" applyFont="1" applyFill="1" applyBorder="1" applyAlignment="1">
      <alignment horizontal="center" vertical="center"/>
    </xf>
    <xf numFmtId="0" fontId="12" fillId="9" borderId="124" xfId="0" applyFont="1" applyFill="1" applyBorder="1" applyAlignment="1">
      <alignment horizontal="center" vertical="center"/>
    </xf>
    <xf numFmtId="0" fontId="12" fillId="9" borderId="126" xfId="0" applyFont="1" applyFill="1" applyBorder="1" applyAlignment="1">
      <alignment horizontal="center" vertical="center"/>
    </xf>
    <xf numFmtId="0" fontId="3" fillId="0" borderId="11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9" fillId="7" borderId="64" xfId="0" applyFont="1" applyFill="1" applyBorder="1" applyAlignment="1">
      <alignment horizontal="center" vertical="center"/>
    </xf>
    <xf numFmtId="0" fontId="9" fillId="7" borderId="65" xfId="0" applyFont="1" applyFill="1" applyBorder="1" applyAlignment="1">
      <alignment horizontal="center" vertical="center"/>
    </xf>
    <xf numFmtId="0" fontId="9" fillId="7" borderId="66" xfId="0" applyFont="1" applyFill="1" applyBorder="1" applyAlignment="1">
      <alignment horizontal="center" vertical="center"/>
    </xf>
    <xf numFmtId="0" fontId="9" fillId="7" borderId="81" xfId="0" applyFont="1" applyFill="1" applyBorder="1" applyAlignment="1">
      <alignment horizontal="center" vertical="center"/>
    </xf>
    <xf numFmtId="0" fontId="9" fillId="7" borderId="82" xfId="0" applyFont="1" applyFill="1" applyBorder="1" applyAlignment="1">
      <alignment horizontal="center" vertical="center"/>
    </xf>
    <xf numFmtId="0" fontId="9" fillId="7" borderId="83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7" fillId="7" borderId="33" xfId="0" applyFont="1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24" fillId="4" borderId="1" xfId="0" applyFont="1" applyFill="1" applyBorder="1" applyAlignment="1">
      <alignment horizontal="center"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3" xfId="0" applyFont="1" applyFill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5" xfId="0" applyFont="1" applyFill="1" applyBorder="1" applyAlignment="1">
      <alignment horizontal="center" vertical="center"/>
    </xf>
    <xf numFmtId="0" fontId="24" fillId="4" borderId="6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</cellXfs>
  <cellStyles count="2">
    <cellStyle name="Normal" xfId="0" builtinId="0"/>
    <cellStyle name="Virgül" xfId="1" builtinId="3"/>
  </cellStyles>
  <dxfs count="134"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theme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lor auto="1"/>
      </font>
      <fill>
        <gradientFill degree="90">
          <stop position="0">
            <color theme="0" tint="-0.25098422193060094"/>
          </stop>
          <stop position="1">
            <color rgb="FFFF0000"/>
          </stop>
        </gradient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medium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medium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thick">
          <color auto="1"/>
        </top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 tint="-0.499984740745262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2" tint="-9.8025452436902985E-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border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0" tint="-0.49803155613879818"/>
          </stop>
          <stop position="1">
            <color theme="1"/>
          </stop>
        </gradientFill>
      </fill>
      <alignment horizontal="left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thick">
          <color auto="1"/>
        </top>
        <bottom style="thick">
          <color auto="1"/>
        </bottom>
        <vertical/>
        <horizontal style="thick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Calibri"/>
        <scheme val="minor"/>
      </font>
      <numFmt numFmtId="0" formatCode="General"/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C00000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>
        <top style="thin">
          <color theme="0"/>
        </top>
      </border>
    </dxf>
    <dxf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gradientFill degree="90">
          <stop position="0">
            <color theme="8" tint="0.80001220740379042"/>
          </stop>
          <stop position="1">
            <color theme="0" tint="-0.49803155613879818"/>
          </stop>
        </gradient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gradientFill degree="90">
          <stop position="0">
            <color theme="0" tint="-0.34900967436750391"/>
          </stop>
          <stop position="1">
            <color theme="1"/>
          </stop>
        </gradient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ill>
        <gradientFill degree="90">
          <stop position="0">
            <color theme="0"/>
          </stop>
          <stop position="1">
            <color theme="2" tint="-0.49803155613879818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gradientFill degree="90">
          <stop position="0">
            <color theme="0"/>
          </stop>
          <stop position="1">
            <color theme="2" tint="-0.49803155613879818"/>
          </stop>
        </gradient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strike val="0"/>
        <color theme="0"/>
      </font>
      <fill>
        <gradientFill degree="90">
          <stop position="0">
            <color theme="0" tint="-0.34900967436750391"/>
          </stop>
          <stop position="1">
            <color theme="1" tint="5.0965910824915313E-2"/>
          </stop>
        </gradient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ill>
        <gradientFill degree="90">
          <stop position="0">
            <color theme="0"/>
          </stop>
          <stop position="1">
            <color theme="2" tint="-0.49803155613879818"/>
          </stop>
        </gradientFill>
      </fill>
    </dxf>
    <dxf>
      <fill>
        <gradientFill degree="90">
          <stop position="0">
            <color theme="0" tint="-0.34900967436750391"/>
          </stop>
          <stop position="1">
            <color theme="1"/>
          </stop>
        </gradientFill>
      </fill>
    </dxf>
    <dxf>
      <font>
        <strike/>
      </font>
      <fill>
        <gradientFill degree="90">
          <stop position="0">
            <color theme="0"/>
          </stop>
          <stop position="1">
            <color theme="2" tint="-0.49803155613879818"/>
          </stop>
        </gradient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thin">
          <color theme="0"/>
        </vertical>
        <horizontal style="thin">
          <color theme="0"/>
        </horizontal>
      </border>
    </dxf>
  </dxfs>
  <tableStyles count="3" defaultTableStyle="TableStyleMedium2" defaultPivotStyle="PivotStyleLight16">
    <tableStyle name="Tablo Stili 1" pivot="0" count="2">
      <tableStyleElement type="wholeTable" dxfId="133"/>
      <tableStyleElement type="headerRow" dxfId="132"/>
    </tableStyle>
    <tableStyle name="Tablo Stili 2" pivot="0" count="1">
      <tableStyleElement type="firstColumnStripe" dxfId="131"/>
    </tableStyle>
    <tableStyle name="Tablo Stili 3" pivot="0" count="3">
      <tableStyleElement type="headerRow" dxfId="130"/>
      <tableStyleElement type="firstColumnStripe" dxfId="129"/>
      <tableStyleElement type="secondColumnStripe" dxfId="1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37</xdr:row>
          <xdr:rowOff>28575</xdr:rowOff>
        </xdr:from>
        <xdr:to>
          <xdr:col>24</xdr:col>
          <xdr:colOff>9525</xdr:colOff>
          <xdr:row>39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37</xdr:row>
          <xdr:rowOff>28575</xdr:rowOff>
        </xdr:from>
        <xdr:to>
          <xdr:col>28</xdr:col>
          <xdr:colOff>9525</xdr:colOff>
          <xdr:row>39</xdr:row>
          <xdr:rowOff>9525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37</xdr:row>
          <xdr:rowOff>28575</xdr:rowOff>
        </xdr:from>
        <xdr:to>
          <xdr:col>32</xdr:col>
          <xdr:colOff>9525</xdr:colOff>
          <xdr:row>39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56</xdr:row>
          <xdr:rowOff>28575</xdr:rowOff>
        </xdr:from>
        <xdr:to>
          <xdr:col>4</xdr:col>
          <xdr:colOff>9525</xdr:colOff>
          <xdr:row>58</xdr:row>
          <xdr:rowOff>9525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28575</xdr:rowOff>
        </xdr:from>
        <xdr:to>
          <xdr:col>12</xdr:col>
          <xdr:colOff>9525</xdr:colOff>
          <xdr:row>58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56</xdr:row>
          <xdr:rowOff>28575</xdr:rowOff>
        </xdr:from>
        <xdr:to>
          <xdr:col>8</xdr:col>
          <xdr:colOff>9525</xdr:colOff>
          <xdr:row>58</xdr:row>
          <xdr:rowOff>9525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56</xdr:row>
          <xdr:rowOff>28575</xdr:rowOff>
        </xdr:from>
        <xdr:to>
          <xdr:col>16</xdr:col>
          <xdr:colOff>9525</xdr:colOff>
          <xdr:row>58</xdr:row>
          <xdr:rowOff>9525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56</xdr:row>
          <xdr:rowOff>28575</xdr:rowOff>
        </xdr:from>
        <xdr:to>
          <xdr:col>20</xdr:col>
          <xdr:colOff>9525</xdr:colOff>
          <xdr:row>58</xdr:row>
          <xdr:rowOff>9525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56</xdr:row>
          <xdr:rowOff>28575</xdr:rowOff>
        </xdr:from>
        <xdr:to>
          <xdr:col>24</xdr:col>
          <xdr:colOff>9525</xdr:colOff>
          <xdr:row>58</xdr:row>
          <xdr:rowOff>9525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56</xdr:row>
          <xdr:rowOff>28575</xdr:rowOff>
        </xdr:from>
        <xdr:to>
          <xdr:col>28</xdr:col>
          <xdr:colOff>9525</xdr:colOff>
          <xdr:row>58</xdr:row>
          <xdr:rowOff>9525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56</xdr:row>
          <xdr:rowOff>28575</xdr:rowOff>
        </xdr:from>
        <xdr:to>
          <xdr:col>32</xdr:col>
          <xdr:colOff>9525</xdr:colOff>
          <xdr:row>58</xdr:row>
          <xdr:rowOff>9525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76</xdr:row>
          <xdr:rowOff>28575</xdr:rowOff>
        </xdr:from>
        <xdr:to>
          <xdr:col>4</xdr:col>
          <xdr:colOff>9525</xdr:colOff>
          <xdr:row>78</xdr:row>
          <xdr:rowOff>9525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76</xdr:row>
          <xdr:rowOff>28575</xdr:rowOff>
        </xdr:from>
        <xdr:to>
          <xdr:col>8</xdr:col>
          <xdr:colOff>9525</xdr:colOff>
          <xdr:row>78</xdr:row>
          <xdr:rowOff>9525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76</xdr:row>
          <xdr:rowOff>28575</xdr:rowOff>
        </xdr:from>
        <xdr:to>
          <xdr:col>12</xdr:col>
          <xdr:colOff>9525</xdr:colOff>
          <xdr:row>78</xdr:row>
          <xdr:rowOff>9525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76</xdr:row>
          <xdr:rowOff>28575</xdr:rowOff>
        </xdr:from>
        <xdr:to>
          <xdr:col>16</xdr:col>
          <xdr:colOff>9525</xdr:colOff>
          <xdr:row>78</xdr:row>
          <xdr:rowOff>9525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76</xdr:row>
          <xdr:rowOff>28575</xdr:rowOff>
        </xdr:from>
        <xdr:to>
          <xdr:col>20</xdr:col>
          <xdr:colOff>9525</xdr:colOff>
          <xdr:row>78</xdr:row>
          <xdr:rowOff>9525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76</xdr:row>
          <xdr:rowOff>28575</xdr:rowOff>
        </xdr:from>
        <xdr:to>
          <xdr:col>24</xdr:col>
          <xdr:colOff>9525</xdr:colOff>
          <xdr:row>78</xdr:row>
          <xdr:rowOff>9525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76</xdr:row>
          <xdr:rowOff>28575</xdr:rowOff>
        </xdr:from>
        <xdr:to>
          <xdr:col>28</xdr:col>
          <xdr:colOff>9525</xdr:colOff>
          <xdr:row>78</xdr:row>
          <xdr:rowOff>9525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76</xdr:row>
          <xdr:rowOff>28575</xdr:rowOff>
        </xdr:from>
        <xdr:to>
          <xdr:col>32</xdr:col>
          <xdr:colOff>9525</xdr:colOff>
          <xdr:row>78</xdr:row>
          <xdr:rowOff>9525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35</xdr:row>
          <xdr:rowOff>28575</xdr:rowOff>
        </xdr:from>
        <xdr:to>
          <xdr:col>15</xdr:col>
          <xdr:colOff>9525</xdr:colOff>
          <xdr:row>37</xdr:row>
          <xdr:rowOff>9525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28575</xdr:rowOff>
        </xdr:from>
        <xdr:to>
          <xdr:col>15</xdr:col>
          <xdr:colOff>9525</xdr:colOff>
          <xdr:row>27</xdr:row>
          <xdr:rowOff>9525</xdr:rowOff>
        </xdr:to>
        <xdr:sp macro="" textlink="">
          <xdr:nvSpPr>
            <xdr:cNvPr id="1061" name="Check Box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28575</xdr:rowOff>
        </xdr:from>
        <xdr:to>
          <xdr:col>15</xdr:col>
          <xdr:colOff>9525</xdr:colOff>
          <xdr:row>22</xdr:row>
          <xdr:rowOff>9525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36</xdr:row>
          <xdr:rowOff>28575</xdr:rowOff>
        </xdr:from>
        <xdr:to>
          <xdr:col>20</xdr:col>
          <xdr:colOff>9525</xdr:colOff>
          <xdr:row>38</xdr:row>
          <xdr:rowOff>9525</xdr:rowOff>
        </xdr:to>
        <xdr:sp macro="" textlink="">
          <xdr:nvSpPr>
            <xdr:cNvPr id="1065" name="Check Box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37</xdr:row>
          <xdr:rowOff>28575</xdr:rowOff>
        </xdr:from>
        <xdr:to>
          <xdr:col>36</xdr:col>
          <xdr:colOff>9525</xdr:colOff>
          <xdr:row>39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56</xdr:row>
          <xdr:rowOff>28575</xdr:rowOff>
        </xdr:from>
        <xdr:to>
          <xdr:col>36</xdr:col>
          <xdr:colOff>9525</xdr:colOff>
          <xdr:row>58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76</xdr:row>
          <xdr:rowOff>28575</xdr:rowOff>
        </xdr:from>
        <xdr:to>
          <xdr:col>36</xdr:col>
          <xdr:colOff>9525</xdr:colOff>
          <xdr:row>78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30</xdr:row>
          <xdr:rowOff>28575</xdr:rowOff>
        </xdr:from>
        <xdr:to>
          <xdr:col>15</xdr:col>
          <xdr:colOff>9525</xdr:colOff>
          <xdr:row>32</xdr:row>
          <xdr:rowOff>9525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Veri_Girişi" displayName="Veri_Girişi" ref="AT21:BI36" totalsRowShown="0" headerRowDxfId="127" dataDxfId="125" headerRowBorderDxfId="126" tableBorderDxfId="124" totalsRowBorderDxfId="123">
  <autoFilter ref="AT21:BI36"/>
  <tableColumns count="16">
    <tableColumn id="1" name="H" dataDxfId="122"/>
    <tableColumn id="2" name="Ev Sahibi" dataDxfId="121"/>
    <tableColumn id="3" name="Deplasman" dataDxfId="120"/>
    <tableColumn id="4" name="S" dataDxfId="119"/>
    <tableColumn id="5" name="1O" dataDxfId="118"/>
    <tableColumn id="6" name="0O" dataDxfId="117"/>
    <tableColumn id="7" name="2O" dataDxfId="116"/>
    <tableColumn id="8" name="SO" dataDxfId="115"/>
    <tableColumn id="9" name="1FPS" dataDxfId="114"/>
    <tableColumn id="10" name="0FPS" dataDxfId="113"/>
    <tableColumn id="11" name="2FPS" dataDxfId="112"/>
    <tableColumn id="12" name="SFPS" dataDxfId="111"/>
    <tableColumn id="13" name="1S" dataDxfId="110"/>
    <tableColumn id="14" name="0S" dataDxfId="109"/>
    <tableColumn id="15" name="2S" dataDxfId="108"/>
    <tableColumn id="16" name="SS" dataDxfId="1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İstatistik" displayName="İstatistik" ref="CF33:DL34" totalsRowShown="0" headerRowDxfId="106" dataDxfId="104" headerRowBorderDxfId="105">
  <autoFilter ref="CF33:DL34"/>
  <tableColumns count="33">
    <tableColumn id="1" name="Hafta" dataDxfId="103"/>
    <tableColumn id="2" name="Tutan" dataDxfId="102"/>
    <tableColumn id="3" name="İkramiye" dataDxfId="101"/>
    <tableColumn id="4" name="1F" dataDxfId="100"/>
    <tableColumn id="5" name="0F" dataDxfId="99"/>
    <tableColumn id="6" name="2F" dataDxfId="98"/>
    <tableColumn id="7" name="1G" dataDxfId="97"/>
    <tableColumn id="8" name="0G" dataDxfId="96"/>
    <tableColumn id="9" name="2G" dataDxfId="95"/>
    <tableColumn id="10" name="FG" dataDxfId="94"/>
    <tableColumn id="11" name="PG" dataDxfId="93"/>
    <tableColumn id="12" name="SG" dataDxfId="92"/>
    <tableColumn id="34" name="1FG" dataDxfId="91"/>
    <tableColumn id="35" name="0FG" dataDxfId="90"/>
    <tableColumn id="36" name="2FG" dataDxfId="89"/>
    <tableColumn id="13" name="1Y" dataDxfId="88"/>
    <tableColumn id="14" name="0Y" dataDxfId="87"/>
    <tableColumn id="15" name="2Y" dataDxfId="86"/>
    <tableColumn id="19" name="1" dataDxfId="85"/>
    <tableColumn id="20" name="2" dataDxfId="84"/>
    <tableColumn id="21" name="3" dataDxfId="83"/>
    <tableColumn id="22" name="4" dataDxfId="82"/>
    <tableColumn id="23" name="5" dataDxfId="81"/>
    <tableColumn id="24" name="6" dataDxfId="80"/>
    <tableColumn id="25" name="7" dataDxfId="79"/>
    <tableColumn id="26" name="8" dataDxfId="78"/>
    <tableColumn id="27" name="9" dataDxfId="77"/>
    <tableColumn id="28" name="10" dataDxfId="76"/>
    <tableColumn id="29" name="11" dataDxfId="75"/>
    <tableColumn id="30" name="12" dataDxfId="74"/>
    <tableColumn id="31" name="13" dataDxfId="73"/>
    <tableColumn id="32" name="14" dataDxfId="72"/>
    <tableColumn id="33" name="15" dataDxfId="7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Dinamik" displayName="Dinamik" ref="DU33:FB34" totalsRowShown="0" headerRowDxfId="70" dataDxfId="69">
  <autoFilter ref="DU33:FB34"/>
  <tableColumns count="34">
    <tableColumn id="1" name="Hafta" dataDxfId="68">
      <calculatedColumnFormula>İstatistik[[#This Row],[Hafta]]</calculatedColumnFormula>
    </tableColumn>
    <tableColumn id="2" name="Tutan" dataDxfId="67">
      <calculatedColumnFormula>İstatistik[[#This Row],[Tutan]]</calculatedColumnFormula>
    </tableColumn>
    <tableColumn id="3" name="1F" dataDxfId="66">
      <calculatedColumnFormula>İstatistik[[#This Row],[1F]]</calculatedColumnFormula>
    </tableColumn>
    <tableColumn id="4" name="0F" dataDxfId="65">
      <calculatedColumnFormula>İstatistik[[#This Row],[0F]]</calculatedColumnFormula>
    </tableColumn>
    <tableColumn id="5" name="2F" dataDxfId="64">
      <calculatedColumnFormula>İstatistik[[#This Row],[2F]]</calculatedColumnFormula>
    </tableColumn>
    <tableColumn id="6" name="1" dataDxfId="63">
      <calculatedColumnFormula>COUNTIFS(İstatistik[[#This Row],[1]:[15]],"&gt;="&amp;$DV$5,İstatistik[[#This Row],[1]:[15]],"&lt;="&amp;$DW$5)</calculatedColumnFormula>
    </tableColumn>
    <tableColumn id="7" name="2" dataDxfId="62">
      <calculatedColumnFormula>COUNTIFS(İstatistik[[#This Row],[1]:[15]],"&gt;="&amp;$DV$6,İstatistik[[#This Row],[1]:[15]],"&lt;="&amp;$DW$6)</calculatedColumnFormula>
    </tableColumn>
    <tableColumn id="8" name="3" dataDxfId="61">
      <calculatedColumnFormula>COUNTIFS(İstatistik[[#This Row],[1]:[15]],"&gt;="&amp;$DV$7,İstatistik[[#This Row],[1]:[15]],"&lt;="&amp;$DW$7)</calculatedColumnFormula>
    </tableColumn>
    <tableColumn id="9" name="4" dataDxfId="60">
      <calculatedColumnFormula>COUNTIFS(İstatistik[[#This Row],[1]:[15]],"&gt;="&amp;$DV$8,İstatistik[[#This Row],[1]:[15]],"&lt;="&amp;$DW$8)</calculatedColumnFormula>
    </tableColumn>
    <tableColumn id="10" name="5" dataDxfId="59">
      <calculatedColumnFormula>COUNTIFS(İstatistik[[#This Row],[1]:[15]],"&gt;="&amp;$DV$9,İstatistik[[#This Row],[1]:[15]],"&lt;="&amp;$DW$9)</calculatedColumnFormula>
    </tableColumn>
    <tableColumn id="11" name="6" dataDxfId="58">
      <calculatedColumnFormula>COUNTIFS(İstatistik[[#This Row],[1]:[15]],"&gt;="&amp;$DV$10,İstatistik[[#This Row],[1]:[15]],"&lt;="&amp;$DW$10)</calculatedColumnFormula>
    </tableColumn>
    <tableColumn id="12" name="7" dataDxfId="57">
      <calculatedColumnFormula>COUNTIFS(İstatistik[[#This Row],[1]:[15]],"&gt;="&amp;$DV$11,İstatistik[[#This Row],[1]:[15]],"&lt;="&amp;$DW$11)</calculatedColumnFormula>
    </tableColumn>
    <tableColumn id="13" name="8" dataDxfId="56">
      <calculatedColumnFormula>COUNTIFS(İstatistik[[#This Row],[1]:[15]],"&gt;="&amp;$DV$12,İstatistik[[#This Row],[1]:[15]],"&lt;="&amp;$DW$12)</calculatedColumnFormula>
    </tableColumn>
    <tableColumn id="14" name="9" dataDxfId="55">
      <calculatedColumnFormula>COUNTIFS(İstatistik[[#This Row],[1]:[15]],"&gt;="&amp;$DV$13,İstatistik[[#This Row],[1]:[15]],"&lt;="&amp;$DW$13)</calculatedColumnFormula>
    </tableColumn>
    <tableColumn id="15" name="10" dataDxfId="54">
      <calculatedColumnFormula>COUNTIFS(İstatistik[[#This Row],[1]:[15]],"&gt;="&amp;$DV$14,İstatistik[[#This Row],[1]:[15]],"&lt;="&amp;$DW$14)</calculatedColumnFormula>
    </tableColumn>
    <tableColumn id="16" name="11" dataDxfId="53">
      <calculatedColumnFormula>COUNTIFS(İstatistik[[#This Row],[1]:[15]],"&gt;="&amp;$DV$15,İstatistik[[#This Row],[1]:[15]],"&lt;="&amp;$DW$15)</calculatedColumnFormula>
    </tableColumn>
    <tableColumn id="17" name="12" dataDxfId="52">
      <calculatedColumnFormula>COUNTIFS(İstatistik[[#This Row],[1]:[15]],"&gt;="&amp;$DV$16,İstatistik[[#This Row],[1]:[15]],"&lt;="&amp;$DW$16)</calculatedColumnFormula>
    </tableColumn>
    <tableColumn id="18" name="13" dataDxfId="51">
      <calculatedColumnFormula>COUNTIFS(İstatistik[[#This Row],[1]:[15]],"&gt;="&amp;$DV$17,İstatistik[[#This Row],[1]:[15]],"&lt;="&amp;$DW$17)</calculatedColumnFormula>
    </tableColumn>
    <tableColumn id="19" name="14" dataDxfId="50">
      <calculatedColumnFormula>COUNTIFS(İstatistik[[#This Row],[1]:[15]],"&gt;="&amp;$DV$18,İstatistik[[#This Row],[1]:[15]],"&lt;="&amp;$DW$18)</calculatedColumnFormula>
    </tableColumn>
    <tableColumn id="20" name="15" dataDxfId="49">
      <calculatedColumnFormula>COUNTIFS(İstatistik[[#This Row],[1]:[15]],"&gt;="&amp;$DV$19,İstatistik[[#This Row],[1]:[15]],"&lt;="&amp;$DW$19)</calculatedColumnFormula>
    </tableColumn>
    <tableColumn id="21" name="Sütun21" dataDxfId="48"/>
    <tableColumn id="22" name="Sütun22" dataDxfId="47"/>
    <tableColumn id="23" name="Sütun23" dataDxfId="46"/>
    <tableColumn id="24" name="Sütun24" dataDxfId="45"/>
    <tableColumn id="25" name="Sütun25" dataDxfId="44"/>
    <tableColumn id="26" name="Sütun26" dataDxfId="43"/>
    <tableColumn id="27" name="Sütun27" dataDxfId="42"/>
    <tableColumn id="28" name="Sütun28" dataDxfId="41"/>
    <tableColumn id="29" name="Sütun29" dataDxfId="40"/>
    <tableColumn id="30" name="Sütun30" dataDxfId="39"/>
    <tableColumn id="31" name="Sütun31" dataDxfId="38"/>
    <tableColumn id="32" name="Sütun32" dataDxfId="37"/>
    <tableColumn id="33" name="Sütun33" dataDxfId="36"/>
    <tableColumn id="34" name="Sütun34" dataDxfId="3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table" Target="../tables/table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tabColor theme="1"/>
  </sheetPr>
  <dimension ref="A1:IG105"/>
  <sheetViews>
    <sheetView showGridLines="0" topLeftCell="FV1" zoomScaleNormal="100" workbookViewId="0">
      <selection activeCell="DU35" sqref="DU35:FB104"/>
    </sheetView>
  </sheetViews>
  <sheetFormatPr defaultColWidth="3.5703125" defaultRowHeight="11.1" customHeight="1" x14ac:dyDescent="0.25"/>
  <cols>
    <col min="1" max="16" width="3.5703125" style="1"/>
    <col min="17" max="17" width="3.5703125" style="1" customWidth="1"/>
    <col min="18" max="40" width="3.5703125" style="1"/>
    <col min="41" max="41" width="3.5703125" style="2"/>
    <col min="42" max="46" width="3.5703125" style="1"/>
    <col min="47" max="48" width="8.7109375" style="1" customWidth="1"/>
    <col min="49" max="78" width="3.5703125" style="1"/>
    <col min="79" max="79" width="3.5703125" style="2"/>
    <col min="80" max="84" width="3.5703125" style="1"/>
    <col min="85" max="88" width="3.5703125" style="1" customWidth="1"/>
    <col min="89" max="89" width="3.5703125" style="1"/>
    <col min="90" max="90" width="3.5703125" style="1" customWidth="1"/>
    <col min="91" max="91" width="3.5703125" style="1"/>
    <col min="92" max="97" width="3.5703125" style="1" customWidth="1"/>
    <col min="98" max="99" width="3.5703125" style="1"/>
    <col min="100" max="100" width="3.5703125" style="1" customWidth="1"/>
    <col min="101" max="101" width="3.5703125" style="1"/>
    <col min="102" max="102" width="3.5703125" style="1" customWidth="1"/>
    <col min="103" max="103" width="3.5703125" style="1"/>
    <col min="104" max="104" width="3.5703125" style="1" customWidth="1"/>
    <col min="105" max="106" width="3.5703125" style="1"/>
    <col min="107" max="107" width="3.5703125" style="1" customWidth="1"/>
    <col min="108" max="108" width="3.5703125" style="1"/>
    <col min="109" max="109" width="3.5703125" style="1" customWidth="1"/>
    <col min="110" max="110" width="3.5703125" style="1"/>
    <col min="111" max="111" width="3.5703125" style="1" customWidth="1"/>
    <col min="112" max="119" width="3.5703125" style="1"/>
    <col min="120" max="120" width="3.5703125" style="2"/>
    <col min="121" max="124" width="3.5703125" style="1"/>
    <col min="125" max="158" width="3.5703125" style="1" customWidth="1"/>
    <col min="159" max="160" width="3.5703125" style="1"/>
    <col min="161" max="161" width="3.5703125" style="2"/>
    <col min="162" max="192" width="3.5703125" style="1"/>
    <col min="193" max="193" width="3.5703125" style="2"/>
    <col min="194" max="233" width="3.5703125" style="1"/>
    <col min="234" max="234" width="3.5703125" style="2"/>
    <col min="235" max="16384" width="3.5703125" style="1"/>
  </cols>
  <sheetData>
    <row r="1" spans="1:241" ht="11.1" customHeight="1" x14ac:dyDescent="0.25"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</row>
    <row r="2" spans="1:241" ht="11.1" customHeight="1" thickBot="1" x14ac:dyDescent="0.3">
      <c r="C2" s="1" t="e">
        <f>'Spor Toto'!CK21_</f>
        <v>#NAME?</v>
      </c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</row>
    <row r="3" spans="1:241" ht="11.1" customHeight="1" thickTop="1" thickBot="1" x14ac:dyDescent="0.3">
      <c r="A3" s="264" t="s">
        <v>0</v>
      </c>
      <c r="B3" s="265"/>
      <c r="C3" s="266"/>
      <c r="E3" s="270" t="str">
        <f>VLOOKUP(J4,AT3:AV17,2,FALSE)</f>
        <v>Kayserispor</v>
      </c>
      <c r="F3" s="271"/>
      <c r="G3" s="271"/>
      <c r="H3" s="271"/>
      <c r="I3" s="272"/>
      <c r="K3" s="270" t="str">
        <f>VLOOKUP(J4,AT3:AV17,3,FALSE)</f>
        <v>Alanyaspor</v>
      </c>
      <c r="L3" s="271"/>
      <c r="M3" s="271"/>
      <c r="N3" s="271"/>
      <c r="O3" s="272"/>
      <c r="R3" s="115" t="s">
        <v>3</v>
      </c>
      <c r="S3" s="116"/>
      <c r="T3" s="117"/>
      <c r="V3" s="115" t="s">
        <v>4</v>
      </c>
      <c r="W3" s="116"/>
      <c r="X3" s="116"/>
      <c r="Y3" s="117"/>
      <c r="AA3" s="115" t="s">
        <v>2</v>
      </c>
      <c r="AB3" s="116"/>
      <c r="AC3" s="117"/>
      <c r="AE3" s="115" t="s">
        <v>5</v>
      </c>
      <c r="AF3" s="116"/>
      <c r="AG3" s="116"/>
      <c r="AH3" s="117"/>
      <c r="AJ3" s="115" t="s">
        <v>8</v>
      </c>
      <c r="AK3" s="116"/>
      <c r="AL3" s="117"/>
      <c r="AP3" s="256" t="s">
        <v>0</v>
      </c>
      <c r="AQ3" s="257"/>
      <c r="AR3" s="258"/>
      <c r="AT3" s="98">
        <v>1</v>
      </c>
      <c r="AU3" s="99" t="s">
        <v>13</v>
      </c>
      <c r="AV3" s="100" t="s">
        <v>113</v>
      </c>
      <c r="AW3" s="101">
        <v>1</v>
      </c>
      <c r="AX3" s="102">
        <v>15</v>
      </c>
      <c r="AY3" s="103">
        <v>20</v>
      </c>
      <c r="AZ3" s="104">
        <v>65</v>
      </c>
      <c r="BA3" s="101">
        <f>IF(AW3=1,AX3,IF(AW3=0,AY3,IF(AW3=2,AZ3,"")))</f>
        <v>15</v>
      </c>
      <c r="BB3" s="102" t="str">
        <f>IF(AX3=MAX(AX3:AZ3),"F",IF(AX3=MIN(AX3:AZ3),"S","P"))</f>
        <v>S</v>
      </c>
      <c r="BC3" s="103" t="str">
        <f>IF(AY3=MAX(AX3:AZ3),"F",IF(AY3=MIN(AX3:AZ3),"S","P"))</f>
        <v>P</v>
      </c>
      <c r="BD3" s="104" t="str">
        <f>IF(AZ3=MAX(AX3:AZ3),"F",IF(AZ3=MIN(AX3:AZ3),"S","P"))</f>
        <v>F</v>
      </c>
      <c r="BE3" s="101" t="str">
        <f>IF(AW3=1,BB3,IF(AW3=0,BC3,IF(AW3=2,BD3,"")))</f>
        <v>S</v>
      </c>
      <c r="BF3" s="102">
        <f>_xlfn.RANK.EQ(AX3,$AX$3:$AZ$17,0)</f>
        <v>42</v>
      </c>
      <c r="BG3" s="103">
        <f t="shared" ref="BG3:BH3" si="0">_xlfn.RANK.EQ(AY3,$AX$3:$AZ$17,0)</f>
        <v>36</v>
      </c>
      <c r="BH3" s="104">
        <f t="shared" si="0"/>
        <v>3</v>
      </c>
      <c r="BI3" s="105">
        <f>IF(AW3=1,BF3,IF(AW3=0,BG3,IF(AW3=2,BH3,"")))</f>
        <v>42</v>
      </c>
      <c r="CB3" s="256" t="s">
        <v>0</v>
      </c>
      <c r="CC3" s="257"/>
      <c r="CD3" s="258"/>
      <c r="CJ3" s="24">
        <v>102</v>
      </c>
      <c r="CK3" s="34"/>
      <c r="CL3" s="34"/>
      <c r="CM3" s="34"/>
      <c r="CN3" s="34"/>
      <c r="CO3" s="35"/>
      <c r="CP3" s="3"/>
      <c r="CQ3" s="24" t="s">
        <v>8</v>
      </c>
      <c r="CR3" s="34"/>
      <c r="CS3" s="34"/>
      <c r="CT3" s="34"/>
      <c r="CU3" s="34"/>
      <c r="CV3" s="35"/>
      <c r="CX3" s="24" t="s">
        <v>90</v>
      </c>
      <c r="CY3" s="34"/>
      <c r="CZ3" s="34"/>
      <c r="DA3" s="34"/>
      <c r="DB3" s="34"/>
      <c r="DC3" s="35"/>
      <c r="DE3" s="24" t="s">
        <v>58</v>
      </c>
      <c r="DF3" s="34"/>
      <c r="DG3" s="34"/>
      <c r="DH3" s="34"/>
      <c r="DI3" s="34"/>
      <c r="DJ3" s="35"/>
      <c r="DQ3" s="256" t="s">
        <v>0</v>
      </c>
      <c r="DR3" s="257"/>
      <c r="DS3" s="258"/>
      <c r="DU3" s="160" t="s">
        <v>2</v>
      </c>
      <c r="DV3" s="161"/>
      <c r="DW3" s="162"/>
      <c r="DX3" s="163"/>
      <c r="DY3" s="163"/>
      <c r="FF3" s="256"/>
      <c r="FG3" s="257"/>
      <c r="FH3" s="258"/>
      <c r="FX3" s="1">
        <v>12</v>
      </c>
      <c r="FZ3" s="1">
        <v>13</v>
      </c>
      <c r="GB3" s="1">
        <v>14</v>
      </c>
      <c r="GD3" s="1">
        <v>15</v>
      </c>
      <c r="GL3" s="256"/>
      <c r="GM3" s="257"/>
      <c r="GN3" s="258"/>
    </row>
    <row r="4" spans="1:241" ht="11.1" customHeight="1" thickBot="1" x14ac:dyDescent="0.3">
      <c r="A4" s="267"/>
      <c r="B4" s="268"/>
      <c r="C4" s="269"/>
      <c r="E4" s="273"/>
      <c r="F4" s="274"/>
      <c r="G4" s="274"/>
      <c r="H4" s="274"/>
      <c r="I4" s="275"/>
      <c r="J4" s="1">
        <v>10</v>
      </c>
      <c r="K4" s="273"/>
      <c r="L4" s="274"/>
      <c r="M4" s="274"/>
      <c r="N4" s="274"/>
      <c r="O4" s="275"/>
      <c r="R4" s="118">
        <v>1</v>
      </c>
      <c r="S4" s="22">
        <v>0</v>
      </c>
      <c r="T4" s="119">
        <v>2</v>
      </c>
      <c r="V4" s="127" t="s">
        <v>6</v>
      </c>
      <c r="W4" s="22">
        <v>1</v>
      </c>
      <c r="X4" s="22">
        <v>0</v>
      </c>
      <c r="Y4" s="119">
        <v>2</v>
      </c>
      <c r="AA4" s="118">
        <v>1</v>
      </c>
      <c r="AB4" s="22">
        <v>0</v>
      </c>
      <c r="AC4" s="119">
        <v>2</v>
      </c>
      <c r="AE4" s="127" t="s">
        <v>6</v>
      </c>
      <c r="AF4" s="22">
        <v>1</v>
      </c>
      <c r="AG4" s="22">
        <v>0</v>
      </c>
      <c r="AH4" s="119">
        <v>2</v>
      </c>
      <c r="AJ4" s="118" t="s">
        <v>8</v>
      </c>
      <c r="AK4" s="22" t="s">
        <v>47</v>
      </c>
      <c r="AL4" s="119" t="s">
        <v>35</v>
      </c>
      <c r="AP4" s="259"/>
      <c r="AQ4" s="260"/>
      <c r="AR4" s="261"/>
      <c r="AT4" s="106">
        <v>2</v>
      </c>
      <c r="AU4" s="4" t="s">
        <v>22</v>
      </c>
      <c r="AV4" s="5" t="s">
        <v>18</v>
      </c>
      <c r="AW4" s="6">
        <v>2</v>
      </c>
      <c r="AX4" s="7">
        <v>44</v>
      </c>
      <c r="AY4" s="8">
        <v>24</v>
      </c>
      <c r="AZ4" s="9">
        <v>32</v>
      </c>
      <c r="BA4" s="6">
        <f t="shared" ref="BA4:BA17" si="1">IF(AW4=1,AX4,IF(AW4=0,AY4,IF(AW4=2,AZ4,"")))</f>
        <v>32</v>
      </c>
      <c r="BB4" s="7" t="str">
        <f t="shared" ref="BB4:BB17" si="2">IF(AX4=MAX(AX4:AZ4),"F",IF(AX4=MIN(AX4:AZ4),"S","P"))</f>
        <v>F</v>
      </c>
      <c r="BC4" s="8" t="str">
        <f t="shared" ref="BC4:BC17" si="3">IF(AY4=MAX(AX4:AZ4),"F",IF(AY4=MIN(AX4:AZ4),"S","P"))</f>
        <v>S</v>
      </c>
      <c r="BD4" s="9" t="str">
        <f t="shared" ref="BD4:BD17" si="4">IF(AZ4=MAX(AX4:AZ4),"F",IF(AZ4=MIN(AX4:AZ4),"S","P"))</f>
        <v>P</v>
      </c>
      <c r="BE4" s="6" t="str">
        <f t="shared" ref="BE4:BE17" si="5">IF(AW4=1,BB4,IF(AW4=0,BC4,IF(AW4=2,BD4,"")))</f>
        <v>P</v>
      </c>
      <c r="BF4" s="7">
        <f t="shared" ref="BF4:BF17" si="6">_xlfn.RANK.EQ(AX4,$AX$3:$AZ$17,0)</f>
        <v>12</v>
      </c>
      <c r="BG4" s="8">
        <f t="shared" ref="BG4:BG17" si="7">_xlfn.RANK.EQ(AY4,$AX$3:$AZ$17,0)</f>
        <v>30</v>
      </c>
      <c r="BH4" s="9">
        <f t="shared" ref="BH4:BH17" si="8">_xlfn.RANK.EQ(AZ4,$AX$3:$AZ$17,0)</f>
        <v>17</v>
      </c>
      <c r="BI4" s="107">
        <f t="shared" ref="BI4:BI16" si="9">IF(AW4=1,BF4,IF(AW4=0,BG4,IF(AW4=2,BH4,"")))</f>
        <v>17</v>
      </c>
      <c r="CB4" s="259"/>
      <c r="CC4" s="260"/>
      <c r="CD4" s="261"/>
      <c r="CJ4" s="232">
        <f ca="1">SUMPRODUCT(SUBTOTAL(3,OFFSET(İstatistik[1G],ROW(İstatistik[1G])-MIN(ROW(İstatistik[1G])),,1)),--(İstatistik[1G]=CP4))</f>
        <v>0</v>
      </c>
      <c r="CK4" s="233">
        <f ca="1">CJ4/SUBTOTAL(3,İstatistik[1G])</f>
        <v>0</v>
      </c>
      <c r="CL4" s="234">
        <f ca="1">SUMPRODUCT(SUBTOTAL(3,OFFSET(İstatistik[0G],ROW(İstatistik[0G])-MIN(ROW(İstatistik[0G])),,1)),--(İstatistik[0G]=CP4))</f>
        <v>0</v>
      </c>
      <c r="CM4" s="235">
        <f ca="1">CL4/SUBTOTAL(3,İstatistik[0G])</f>
        <v>0</v>
      </c>
      <c r="CN4" s="236">
        <f ca="1">SUMPRODUCT(SUBTOTAL(3,OFFSET(İstatistik[2G],ROW(İstatistik[2G])-MIN(ROW(İstatistik[2G])),,1)),--(İstatistik[2G]=CP4))</f>
        <v>0</v>
      </c>
      <c r="CO4" s="237">
        <f ca="1">CN4/SUBTOTAL(3,İstatistik[2G])</f>
        <v>0</v>
      </c>
      <c r="CP4" s="87">
        <v>0</v>
      </c>
      <c r="CQ4" s="232">
        <f ca="1">SUMPRODUCT(SUBTOTAL(3,OFFSET(İstatistik[FG],ROW(İstatistik[FG])-MIN(ROW(İstatistik[FG])),,1)),--(İstatistik[FG]=CP4))</f>
        <v>0</v>
      </c>
      <c r="CR4" s="233">
        <f ca="1">CQ4/SUBTOTAL(3,İstatistik[FG])</f>
        <v>0</v>
      </c>
      <c r="CS4" s="234">
        <f ca="1">SUMPRODUCT(SUBTOTAL(3,OFFSET(İstatistik[PG],ROW(İstatistik[PG])-MIN(ROW(İstatistik[PG])),,1)),--(İstatistik[PG]=CP4))</f>
        <v>0</v>
      </c>
      <c r="CT4" s="235">
        <f ca="1">CS4/SUBTOTAL(3,İstatistik[PG])</f>
        <v>0</v>
      </c>
      <c r="CU4" s="236">
        <f ca="1">SUMPRODUCT(SUBTOTAL(3,OFFSET(İstatistik[SG],ROW(İstatistik[SG])-MIN(ROW(İstatistik[SG])),,1)),--(İstatistik[SG]=CP4))</f>
        <v>0</v>
      </c>
      <c r="CV4" s="237">
        <f ca="1">CU4/SUBTOTAL(3,İstatistik[SG])</f>
        <v>0</v>
      </c>
      <c r="CW4" s="87">
        <v>0</v>
      </c>
      <c r="CX4" s="232">
        <f ca="1">SUMPRODUCT(SUBTOTAL(3,OFFSET(İstatistik[1FG],ROW(İstatistik[1FG])-MIN(ROW(İstatistik[1FG])),,1)),--(İstatistik[1FG]=CP4))</f>
        <v>0</v>
      </c>
      <c r="CY4" s="233">
        <f ca="1">CX4/SUBTOTAL(3,İstatistik[FG])</f>
        <v>0</v>
      </c>
      <c r="CZ4" s="234">
        <f ca="1">SUMPRODUCT(SUBTOTAL(3,OFFSET(İstatistik[0FG],ROW(İstatistik[0FG])-MIN(ROW(İstatistik[0FG])),,1)),--(İstatistik[0FG]=CP4))</f>
        <v>0</v>
      </c>
      <c r="DA4" s="235">
        <f ca="1">CZ4/SUBTOTAL(3,İstatistik[PG])</f>
        <v>0</v>
      </c>
      <c r="DB4" s="236">
        <f ca="1">SUMPRODUCT(SUBTOTAL(3,OFFSET(İstatistik[2FG],ROW(İstatistik[2FG])-MIN(ROW(İstatistik[2FG])),,1)),--(İstatistik[2FG]=CP4))</f>
        <v>0</v>
      </c>
      <c r="DC4" s="237">
        <f ca="1">DB4/SUBTOTAL(3,İstatistik[SG])</f>
        <v>0</v>
      </c>
      <c r="DD4" s="87">
        <v>0</v>
      </c>
      <c r="DE4" s="232">
        <f ca="1">SUMPRODUCT(SUBTOTAL(3,OFFSET(İstatistik[1Y],ROW(İstatistik[1Y])-MIN(ROW(İstatistik[1Y])),,1)),--(İstatistik[1Y]=CP4))</f>
        <v>0</v>
      </c>
      <c r="DF4" s="233">
        <f ca="1">DE4/SUBTOTAL(3,İstatistik[1Y])</f>
        <v>0</v>
      </c>
      <c r="DG4" s="234">
        <f ca="1">SUMPRODUCT(SUBTOTAL(3,OFFSET(İstatistik[0Y],ROW(İstatistik[0Y])-MIN(ROW(İstatistik[0Y])),,1)),--(İstatistik[0Y]=CP4))</f>
        <v>0</v>
      </c>
      <c r="DH4" s="235">
        <f ca="1">DG4/SUBTOTAL(3,İstatistik[0Y])</f>
        <v>0</v>
      </c>
      <c r="DI4" s="236">
        <f ca="1">SUMPRODUCT(SUBTOTAL(3,OFFSET(İstatistik[2Y],ROW(İstatistik[2Y])-MIN(ROW(İstatistik[2Y])),,1)),--(İstatistik[2Y]=CP4))</f>
        <v>0</v>
      </c>
      <c r="DJ4" s="237">
        <f ca="1">DI4/SUBTOTAL(3,İstatistik[2Y])</f>
        <v>0</v>
      </c>
      <c r="DQ4" s="259"/>
      <c r="DR4" s="260"/>
      <c r="DS4" s="261"/>
      <c r="DU4" s="164"/>
      <c r="DV4" s="146" t="s">
        <v>57</v>
      </c>
      <c r="DW4" s="147" t="s">
        <v>123</v>
      </c>
      <c r="DX4" s="146" t="s">
        <v>57</v>
      </c>
      <c r="DY4" s="147" t="s">
        <v>123</v>
      </c>
      <c r="FF4" s="259"/>
      <c r="FG4" s="260"/>
      <c r="FH4" s="261"/>
      <c r="FW4" s="1" t="s">
        <v>56</v>
      </c>
      <c r="FX4" s="1" t="s">
        <v>57</v>
      </c>
      <c r="FY4" s="1" t="s">
        <v>56</v>
      </c>
      <c r="FZ4" s="1" t="s">
        <v>57</v>
      </c>
      <c r="GA4" s="1" t="s">
        <v>56</v>
      </c>
      <c r="GB4" s="1" t="s">
        <v>57</v>
      </c>
      <c r="GC4" s="1" t="s">
        <v>56</v>
      </c>
      <c r="GD4" s="1" t="s">
        <v>57</v>
      </c>
      <c r="GE4" s="1" t="s">
        <v>56</v>
      </c>
      <c r="GL4" s="259"/>
      <c r="GM4" s="260"/>
      <c r="GN4" s="261"/>
    </row>
    <row r="5" spans="1:241" ht="11.1" customHeight="1" thickTop="1" thickBot="1" x14ac:dyDescent="0.3">
      <c r="R5" s="120">
        <f>AX3</f>
        <v>15</v>
      </c>
      <c r="S5" s="79">
        <f t="shared" ref="S5:T5" si="10">AY3</f>
        <v>20</v>
      </c>
      <c r="T5" s="121">
        <f t="shared" si="10"/>
        <v>65</v>
      </c>
      <c r="V5" s="128">
        <f>COUNTIFS(Veri_Girişi[1O],"&gt;="&amp;R5-2,Veri_Girişi[1O],"&lt;="&amp;R5+2,Veri_Girişi[0O],"&gt;="&amp;S5-2,Veri_Girişi[0O],"&lt;="&amp;S5+2,Veri_Girişi[2O],"&gt;="&amp;T5-2,Veri_Girişi[2O],"&lt;="&amp;T5+2)</f>
        <v>0</v>
      </c>
      <c r="W5" s="77">
        <f>IFERROR(ROUND((COUNTIFS(Veri_Girişi[1O],"&gt;="&amp;R5-2,Veri_Girişi[1O],"&lt;="&amp;R5+2,Veri_Girişi[0O],"&gt;="&amp;S5-2,Veri_Girişi[0O],"&lt;="&amp;S5+2,Veri_Girişi[2O],"&gt;="&amp;T5-2,Veri_Girişi[2O],"&lt;="&amp;T5+2,Veri_Girişi[S],1))*100/V5,0),0)</f>
        <v>0</v>
      </c>
      <c r="X5" s="77">
        <f>IFERROR(ROUND((COUNTIFS(Veri_Girişi[1O],"&gt;="&amp;R5-2,Veri_Girişi[1O],"&lt;="&amp;R5+2,Veri_Girişi[0O],"&gt;="&amp;S5-2,Veri_Girişi[0O],"&lt;="&amp;S5+2,Veri_Girişi[2O],"&gt;="&amp;T5-2,Veri_Girişi[2O],"&lt;="&amp;T5+2,Veri_Girişi[S],0))*100/V5,0),0)</f>
        <v>0</v>
      </c>
      <c r="Y5" s="129">
        <f>IFERROR(ROUND((COUNTIFS(Veri_Girişi[1O],"&gt;="&amp;R5-2,Veri_Girişi[1O],"&lt;="&amp;R5+2,Veri_Girişi[0O],"&gt;="&amp;S5-2,Veri_Girişi[0O],"&lt;="&amp;S5+2,Veri_Girişi[2O],"&gt;="&amp;T5-2,Veri_Girişi[2O],"&lt;="&amp;T5+2,Veri_Girişi[S],2))*100/V5,0),0)</f>
        <v>0</v>
      </c>
      <c r="AA5" s="120">
        <f>BF3</f>
        <v>42</v>
      </c>
      <c r="AB5" s="79">
        <f t="shared" ref="AB5:AC5" si="11">BG3</f>
        <v>36</v>
      </c>
      <c r="AC5" s="121">
        <f t="shared" si="11"/>
        <v>3</v>
      </c>
      <c r="AE5" s="128">
        <f>COUNTIFS(Veri_Girişi[1S],"&gt;="&amp;AA5-2,Veri_Girişi[1S],"&lt;="&amp;AA5+2,Veri_Girişi[0S],"&gt;="&amp;AB5-2,Veri_Girişi[0S],"&lt;="&amp;AB5+2,Veri_Girişi[2S],"&gt;="&amp;AC5-2,Veri_Girişi[2S],"&lt;="&amp;AC5+2)</f>
        <v>0</v>
      </c>
      <c r="AF5" s="77">
        <f>IFERROR(ROUND((COUNTIFS(Veri_Girişi[1S],"&gt;="&amp;AA5-2,Veri_Girişi[1S],"&lt;="&amp;AA5+2,Veri_Girişi[0S],"&gt;="&amp;AB5-2,Veri_Girişi[0S],"&lt;="&amp;AB5+2,Veri_Girişi[2S],"&gt;="&amp;AC5-2,Veri_Girişi[2S],"&lt;="&amp;AC5+2,Veri_Girişi[S],1))*100/AE5,0),0)</f>
        <v>0</v>
      </c>
      <c r="AG5" s="77">
        <f>IFERROR(ROUND((COUNTIFS(Veri_Girişi[1S],"&gt;="&amp;AA5-2,Veri_Girişi[1S],"&lt;="&amp;AA5+2,Veri_Girişi[0S],"&gt;="&amp;AB5-2,Veri_Girişi[0S],"&lt;="&amp;AB5+2,Veri_Girişi[2S],"&gt;="&amp;AC5-2,Veri_Girişi[2S],"&lt;="&amp;AC5+2,Veri_Girişi[S],0))*100/AE5,0),0)</f>
        <v>0</v>
      </c>
      <c r="AH5" s="129">
        <f>IFERROR(ROUND((COUNTIFS(Veri_Girişi[1S],"&gt;="&amp;AA5-2,Veri_Girişi[1S],"&lt;="&amp;AA5+2,Veri_Girişi[0S],"&gt;="&amp;AB5-2,Veri_Girişi[0S],"&lt;="&amp;AB5+2,Veri_Girişi[2S],"&gt;="&amp;AC5-2,Veri_Girişi[2S],"&lt;="&amp;AC5+2,Veri_Girişi[S],2))*100/AE5,0),0)</f>
        <v>0</v>
      </c>
      <c r="AJ5" s="120" t="str">
        <f>BB3</f>
        <v>S</v>
      </c>
      <c r="AK5" s="79" t="str">
        <f t="shared" ref="AK5:AL5" si="12">BC3</f>
        <v>P</v>
      </c>
      <c r="AL5" s="121" t="str">
        <f t="shared" si="12"/>
        <v>F</v>
      </c>
      <c r="AT5" s="106">
        <v>3</v>
      </c>
      <c r="AU5" s="4" t="s">
        <v>21</v>
      </c>
      <c r="AV5" s="5" t="s">
        <v>114</v>
      </c>
      <c r="AW5" s="6">
        <v>2</v>
      </c>
      <c r="AX5" s="7">
        <v>54</v>
      </c>
      <c r="AY5" s="8">
        <v>24</v>
      </c>
      <c r="AZ5" s="9">
        <v>22</v>
      </c>
      <c r="BA5" s="6">
        <f t="shared" si="1"/>
        <v>22</v>
      </c>
      <c r="BB5" s="7" t="str">
        <f t="shared" si="2"/>
        <v>F</v>
      </c>
      <c r="BC5" s="8" t="str">
        <f t="shared" si="3"/>
        <v>P</v>
      </c>
      <c r="BD5" s="9" t="str">
        <f t="shared" si="4"/>
        <v>S</v>
      </c>
      <c r="BE5" s="6" t="str">
        <f t="shared" si="5"/>
        <v>S</v>
      </c>
      <c r="BF5" s="7">
        <f t="shared" si="6"/>
        <v>7</v>
      </c>
      <c r="BG5" s="8">
        <f t="shared" si="7"/>
        <v>30</v>
      </c>
      <c r="BH5" s="9">
        <f t="shared" si="8"/>
        <v>32</v>
      </c>
      <c r="BI5" s="107">
        <f t="shared" si="9"/>
        <v>32</v>
      </c>
      <c r="CJ5" s="238">
        <f ca="1">SUMPRODUCT(SUBTOTAL(3,OFFSET(İstatistik[1G],ROW(İstatistik[1G])-MIN(ROW(İstatistik[1G])),,1)),--(İstatistik[1G]=CP5))</f>
        <v>0</v>
      </c>
      <c r="CK5" s="239">
        <f ca="1">CJ5/SUBTOTAL(3,İstatistik[1G])</f>
        <v>0</v>
      </c>
      <c r="CL5" s="240">
        <f ca="1">SUMPRODUCT(SUBTOTAL(3,OFFSET(İstatistik[0G],ROW(İstatistik[0G])-MIN(ROW(İstatistik[0G])),,1)),--(İstatistik[0G]=CP5))</f>
        <v>0</v>
      </c>
      <c r="CM5" s="241">
        <f ca="1">CL5/SUBTOTAL(3,İstatistik[0G])</f>
        <v>0</v>
      </c>
      <c r="CN5" s="242">
        <f ca="1">SUMPRODUCT(SUBTOTAL(3,OFFSET(İstatistik[2G],ROW(İstatistik[2G])-MIN(ROW(İstatistik[2G])),,1)),--(İstatistik[2G]=CP5))</f>
        <v>0</v>
      </c>
      <c r="CO5" s="243">
        <f ca="1">CN5/SUBTOTAL(3,İstatistik[2G])</f>
        <v>0</v>
      </c>
      <c r="CP5" s="87">
        <v>1</v>
      </c>
      <c r="CQ5" s="238">
        <f ca="1">SUMPRODUCT(SUBTOTAL(3,OFFSET(İstatistik[FG],ROW(İstatistik[FG])-MIN(ROW(İstatistik[FG])),,1)),--(İstatistik[FG]=CP5))</f>
        <v>0</v>
      </c>
      <c r="CR5" s="239">
        <f ca="1">CQ5/SUBTOTAL(3,İstatistik[FG])</f>
        <v>0</v>
      </c>
      <c r="CS5" s="240">
        <f ca="1">SUMPRODUCT(SUBTOTAL(3,OFFSET(İstatistik[PG],ROW(İstatistik[PG])-MIN(ROW(İstatistik[PG])),,1)),--(İstatistik[PG]=CP5))</f>
        <v>1</v>
      </c>
      <c r="CT5" s="241">
        <f ca="1">CS5/SUBTOTAL(3,İstatistik[PG])</f>
        <v>1</v>
      </c>
      <c r="CU5" s="242">
        <f ca="1">SUMPRODUCT(SUBTOTAL(3,OFFSET(İstatistik[SG],ROW(İstatistik[SG])-MIN(ROW(İstatistik[SG])),,1)),--(İstatistik[SG]=CP5))</f>
        <v>0</v>
      </c>
      <c r="CV5" s="243">
        <f ca="1">CU5/SUBTOTAL(3,İstatistik[SG])</f>
        <v>0</v>
      </c>
      <c r="CW5" s="87">
        <v>1</v>
      </c>
      <c r="CX5" s="238">
        <f ca="1">SUMPRODUCT(SUBTOTAL(3,OFFSET(İstatistik[1FG],ROW(İstatistik[1FG])-MIN(ROW(İstatistik[1FG])),,1)),--(İstatistik[1FG]=CP5))</f>
        <v>0</v>
      </c>
      <c r="CY5" s="239">
        <f ca="1">CX5/SUBTOTAL(3,İstatistik[FG])</f>
        <v>0</v>
      </c>
      <c r="CZ5" s="240">
        <f ca="1">SUMPRODUCT(SUBTOTAL(3,OFFSET(İstatistik[0FG],ROW(İstatistik[0FG])-MIN(ROW(İstatistik[0FG])),,1)),--(İstatistik[0FG]=CP5))</f>
        <v>0</v>
      </c>
      <c r="DA5" s="241">
        <f ca="1">CZ5/SUBTOTAL(3,İstatistik[PG])</f>
        <v>0</v>
      </c>
      <c r="DB5" s="242">
        <f ca="1">SUMPRODUCT(SUBTOTAL(3,OFFSET(İstatistik[2FG],ROW(İstatistik[2FG])-MIN(ROW(İstatistik[2FG])),,1)),--(İstatistik[2FG]=CP5))</f>
        <v>0</v>
      </c>
      <c r="DC5" s="243">
        <f ca="1">DB5/SUBTOTAL(3,İstatistik[SG])</f>
        <v>0</v>
      </c>
      <c r="DD5" s="87">
        <v>1</v>
      </c>
      <c r="DE5" s="238">
        <f ca="1">SUMPRODUCT(SUBTOTAL(3,OFFSET(İstatistik[1Y],ROW(İstatistik[1Y])-MIN(ROW(İstatistik[1Y])),,1)),--(İstatistik[1Y]=CP5))</f>
        <v>0</v>
      </c>
      <c r="DF5" s="239">
        <f ca="1">DE5/SUBTOTAL(3,İstatistik[1Y])</f>
        <v>0</v>
      </c>
      <c r="DG5" s="240">
        <f ca="1">SUMPRODUCT(SUBTOTAL(3,OFFSET(İstatistik[0Y],ROW(İstatistik[0Y])-MIN(ROW(İstatistik[0Y])),,1)),--(İstatistik[0Y]=CP5))</f>
        <v>0</v>
      </c>
      <c r="DH5" s="241">
        <f ca="1">DG5/SUBTOTAL(3,İstatistik[0Y])</f>
        <v>0</v>
      </c>
      <c r="DI5" s="242">
        <f ca="1">SUMPRODUCT(SUBTOTAL(3,OFFSET(İstatistik[2Y],ROW(İstatistik[2Y])-MIN(ROW(İstatistik[2Y])),,1)),--(İstatistik[2Y]=CP5))</f>
        <v>0</v>
      </c>
      <c r="DJ5" s="243">
        <f ca="1">DI5/SUBTOTAL(3,İstatistik[2Y])</f>
        <v>0</v>
      </c>
      <c r="DU5" s="157">
        <v>1</v>
      </c>
      <c r="DV5" s="153">
        <f>MIN(İstatistik[1])</f>
        <v>1</v>
      </c>
      <c r="DW5" s="154">
        <f>MAX(İstatistik[1])</f>
        <v>1</v>
      </c>
      <c r="DX5" s="153">
        <f>MIN(Dinamik[1])</f>
        <v>1</v>
      </c>
      <c r="DY5" s="154">
        <f>MAX(Dinamik[1])</f>
        <v>1</v>
      </c>
      <c r="FW5" s="1">
        <f>MAX(İstatistik[11])</f>
        <v>29</v>
      </c>
      <c r="FX5" s="1">
        <f>MIN(İstatistik[12])</f>
        <v>29</v>
      </c>
      <c r="FY5" s="1">
        <f>MAX(İstatistik[12])</f>
        <v>29</v>
      </c>
      <c r="FZ5" s="1">
        <f>MIN(İstatistik[13])</f>
        <v>32</v>
      </c>
      <c r="GA5" s="1">
        <f>MAX(İstatistik[13])</f>
        <v>32</v>
      </c>
      <c r="GB5" s="1">
        <f>MIN(İstatistik[14])</f>
        <v>37</v>
      </c>
      <c r="GC5" s="1">
        <f>MAX(İstatistik[14])</f>
        <v>37</v>
      </c>
      <c r="GD5" s="1">
        <f>MIN(İstatistik[15])</f>
        <v>41</v>
      </c>
      <c r="GE5" s="1">
        <f>MAX(İstatistik[15])</f>
        <v>41</v>
      </c>
    </row>
    <row r="6" spans="1:241" ht="11.1" customHeight="1" thickBot="1" x14ac:dyDescent="0.3">
      <c r="A6" s="256" t="s">
        <v>1</v>
      </c>
      <c r="B6" s="257"/>
      <c r="C6" s="258"/>
      <c r="H6" s="24" t="s">
        <v>7</v>
      </c>
      <c r="I6" s="25"/>
      <c r="J6" s="25"/>
      <c r="K6" s="26"/>
      <c r="L6" s="20"/>
      <c r="R6" s="122">
        <f t="shared" ref="R6:R19" si="13">AX4</f>
        <v>44</v>
      </c>
      <c r="S6" s="80">
        <f t="shared" ref="S6:S19" si="14">AY4</f>
        <v>24</v>
      </c>
      <c r="T6" s="123">
        <f t="shared" ref="T6:T19" si="15">AZ4</f>
        <v>32</v>
      </c>
      <c r="V6" s="130">
        <f>COUNTIFS(Veri_Girişi[1O],"&gt;="&amp;R6-2,Veri_Girişi[1O],"&lt;="&amp;R6+2,Veri_Girişi[0O],"&gt;="&amp;S6-2,Veri_Girişi[0O],"&lt;="&amp;S6+2,Veri_Girişi[2O],"&gt;="&amp;T6-2,Veri_Girişi[2O],"&lt;="&amp;T6+2)</f>
        <v>0</v>
      </c>
      <c r="W6" s="78">
        <f>IFERROR(ROUND((COUNTIFS(Veri_Girişi[1O],"&gt;="&amp;R6-2,Veri_Girişi[1O],"&lt;="&amp;R6+2,Veri_Girişi[0O],"&gt;="&amp;S6-2,Veri_Girişi[0O],"&lt;="&amp;S6+2,Veri_Girişi[2O],"&gt;="&amp;T6-2,Veri_Girişi[2O],"&lt;="&amp;T6+2,Veri_Girişi[S],1))*100/V6,0),0)</f>
        <v>0</v>
      </c>
      <c r="X6" s="78">
        <f>IFERROR(ROUND((COUNTIFS(Veri_Girişi[1O],"&gt;="&amp;R6-2,Veri_Girişi[1O],"&lt;="&amp;R6+2,Veri_Girişi[0O],"&gt;="&amp;S6-2,Veri_Girişi[0O],"&lt;="&amp;S6+2,Veri_Girişi[2O],"&gt;="&amp;T6-2,Veri_Girişi[2O],"&lt;="&amp;T6+2,Veri_Girişi[S],0))*100/V6,0),0)</f>
        <v>0</v>
      </c>
      <c r="Y6" s="131">
        <f>IFERROR(ROUND((COUNTIFS(Veri_Girişi[1O],"&gt;="&amp;R6-2,Veri_Girişi[1O],"&lt;="&amp;R6+2,Veri_Girişi[0O],"&gt;="&amp;S6-2,Veri_Girişi[0O],"&lt;="&amp;S6+2,Veri_Girişi[2O],"&gt;="&amp;T6-2,Veri_Girişi[2O],"&lt;="&amp;T6+2,Veri_Girişi[S],2))*100/V6,0),0)</f>
        <v>0</v>
      </c>
      <c r="AA6" s="122">
        <f t="shared" ref="AA6:AA19" si="16">BF4</f>
        <v>12</v>
      </c>
      <c r="AB6" s="80">
        <f t="shared" ref="AB6:AB19" si="17">BG4</f>
        <v>30</v>
      </c>
      <c r="AC6" s="123">
        <f t="shared" ref="AC6:AC19" si="18">BH4</f>
        <v>17</v>
      </c>
      <c r="AE6" s="130">
        <f>COUNTIFS(Veri_Girişi[1S],"&gt;="&amp;AA6-2,Veri_Girişi[1S],"&lt;="&amp;AA6+2,Veri_Girişi[0S],"&gt;="&amp;AB6-2,Veri_Girişi[0S],"&lt;="&amp;AB6+2,Veri_Girişi[2S],"&gt;="&amp;AC6-2,Veri_Girişi[2S],"&lt;="&amp;AC6+2)</f>
        <v>0</v>
      </c>
      <c r="AF6" s="78">
        <f>IFERROR(ROUND((COUNTIFS(Veri_Girişi[1S],"&gt;="&amp;AA6-2,Veri_Girişi[1S],"&lt;="&amp;AA6+2,Veri_Girişi[0S],"&gt;="&amp;AB6-2,Veri_Girişi[0S],"&lt;="&amp;AB6+2,Veri_Girişi[2S],"&gt;="&amp;AC6-2,Veri_Girişi[2S],"&lt;="&amp;AC6+2,Veri_Girişi[S],1))*100/AE6,0),0)</f>
        <v>0</v>
      </c>
      <c r="AG6" s="78">
        <f>IFERROR(ROUND((COUNTIFS(Veri_Girişi[1S],"&gt;="&amp;AA6-2,Veri_Girişi[1S],"&lt;="&amp;AA6+2,Veri_Girişi[0S],"&gt;="&amp;AB6-2,Veri_Girişi[0S],"&lt;="&amp;AB6+2,Veri_Girişi[2S],"&gt;="&amp;AC6-2,Veri_Girişi[2S],"&lt;="&amp;AC6+2,Veri_Girişi[S],0))*100/AE6,0),0)</f>
        <v>0</v>
      </c>
      <c r="AH6" s="131">
        <f>IFERROR(ROUND((COUNTIFS(Veri_Girişi[1S],"&gt;="&amp;AA6-2,Veri_Girişi[1S],"&lt;="&amp;AA6+2,Veri_Girişi[0S],"&gt;="&amp;AB6-2,Veri_Girişi[0S],"&lt;="&amp;AB6+2,Veri_Girişi[2S],"&gt;="&amp;AC6-2,Veri_Girişi[2S],"&lt;="&amp;AC6+2,Veri_Girişi[S],2))*100/AE6,0),0)</f>
        <v>0</v>
      </c>
      <c r="AJ6" s="122" t="str">
        <f t="shared" ref="AJ6:AJ19" si="19">BB4</f>
        <v>F</v>
      </c>
      <c r="AK6" s="80" t="str">
        <f t="shared" ref="AK6:AK19" si="20">BC4</f>
        <v>S</v>
      </c>
      <c r="AL6" s="123" t="str">
        <f t="shared" ref="AL6:AL19" si="21">BD4</f>
        <v>P</v>
      </c>
      <c r="AP6" s="264" t="s">
        <v>1</v>
      </c>
      <c r="AQ6" s="265"/>
      <c r="AR6" s="266"/>
      <c r="AT6" s="106">
        <v>4</v>
      </c>
      <c r="AU6" s="4" t="s">
        <v>24</v>
      </c>
      <c r="AV6" s="5" t="s">
        <v>49</v>
      </c>
      <c r="AW6" s="6">
        <v>1</v>
      </c>
      <c r="AX6" s="7">
        <v>38</v>
      </c>
      <c r="AY6" s="8">
        <v>26</v>
      </c>
      <c r="AZ6" s="9">
        <v>36</v>
      </c>
      <c r="BA6" s="6">
        <f t="shared" si="1"/>
        <v>38</v>
      </c>
      <c r="BB6" s="7" t="str">
        <f t="shared" si="2"/>
        <v>F</v>
      </c>
      <c r="BC6" s="8" t="str">
        <f t="shared" si="3"/>
        <v>S</v>
      </c>
      <c r="BD6" s="9" t="str">
        <f t="shared" si="4"/>
        <v>P</v>
      </c>
      <c r="BE6" s="6" t="str">
        <f t="shared" si="5"/>
        <v>F</v>
      </c>
      <c r="BF6" s="7">
        <f t="shared" si="6"/>
        <v>15</v>
      </c>
      <c r="BG6" s="8">
        <f t="shared" si="7"/>
        <v>26</v>
      </c>
      <c r="BH6" s="9">
        <f t="shared" si="8"/>
        <v>16</v>
      </c>
      <c r="BI6" s="107">
        <f t="shared" si="9"/>
        <v>15</v>
      </c>
      <c r="CB6" s="256" t="s">
        <v>1</v>
      </c>
      <c r="CC6" s="257"/>
      <c r="CD6" s="258"/>
      <c r="CJ6" s="232">
        <f ca="1">SUMPRODUCT(SUBTOTAL(3,OFFSET(İstatistik[1G],ROW(İstatistik[1G])-MIN(ROW(İstatistik[1G])),,1)),--(İstatistik[1G]=CP6))</f>
        <v>0</v>
      </c>
      <c r="CK6" s="244">
        <f ca="1">CJ6/SUBTOTAL(3,İstatistik[1G])</f>
        <v>0</v>
      </c>
      <c r="CL6" s="234">
        <f ca="1">SUMPRODUCT(SUBTOTAL(3,OFFSET(İstatistik[0G],ROW(İstatistik[0G])-MIN(ROW(İstatistik[0G])),,1)),--(İstatistik[0G]=CP6))</f>
        <v>0</v>
      </c>
      <c r="CM6" s="235">
        <f ca="1">CL6/SUBTOTAL(3,İstatistik[0G])</f>
        <v>0</v>
      </c>
      <c r="CN6" s="236">
        <f ca="1">SUMPRODUCT(SUBTOTAL(3,OFFSET(İstatistik[2G],ROW(İstatistik[2G])-MIN(ROW(İstatistik[2G])),,1)),--(İstatistik[2G]=CP6))</f>
        <v>0</v>
      </c>
      <c r="CO6" s="237">
        <f ca="1">CN6/SUBTOTAL(3,İstatistik[2G])</f>
        <v>0</v>
      </c>
      <c r="CP6" s="87">
        <v>2</v>
      </c>
      <c r="CQ6" s="232">
        <f ca="1">SUMPRODUCT(SUBTOTAL(3,OFFSET(İstatistik[FG],ROW(İstatistik[FG])-MIN(ROW(İstatistik[FG])),,1)),--(İstatistik[FG]=CP6))</f>
        <v>0</v>
      </c>
      <c r="CR6" s="244">
        <f ca="1">CQ6/SUBTOTAL(3,İstatistik[FG])</f>
        <v>0</v>
      </c>
      <c r="CS6" s="234">
        <f ca="1">SUMPRODUCT(SUBTOTAL(3,OFFSET(İstatistik[PG],ROW(İstatistik[PG])-MIN(ROW(İstatistik[PG])),,1)),--(İstatistik[PG]=CP6))</f>
        <v>0</v>
      </c>
      <c r="CT6" s="235">
        <f ca="1">CS6/SUBTOTAL(3,İstatistik[PG])</f>
        <v>0</v>
      </c>
      <c r="CU6" s="236">
        <f ca="1">SUMPRODUCT(SUBTOTAL(3,OFFSET(İstatistik[SG],ROW(İstatistik[SG])-MIN(ROW(İstatistik[SG])),,1)),--(İstatistik[SG]=CP6))</f>
        <v>0</v>
      </c>
      <c r="CV6" s="237">
        <f ca="1">CU6/SUBTOTAL(3,İstatistik[SG])</f>
        <v>0</v>
      </c>
      <c r="CW6" s="87">
        <v>2</v>
      </c>
      <c r="CX6" s="232">
        <f ca="1">SUMPRODUCT(SUBTOTAL(3,OFFSET(İstatistik[1FG],ROW(İstatistik[1FG])-MIN(ROW(İstatistik[1FG])),,1)),--(İstatistik[1FG]=CP6))</f>
        <v>0</v>
      </c>
      <c r="CY6" s="244">
        <f ca="1">CX6/SUBTOTAL(3,İstatistik[FG])</f>
        <v>0</v>
      </c>
      <c r="CZ6" s="234">
        <f ca="1">SUMPRODUCT(SUBTOTAL(3,OFFSET(İstatistik[0FG],ROW(İstatistik[0FG])-MIN(ROW(İstatistik[0FG])),,1)),--(İstatistik[0FG]=CP6))</f>
        <v>1</v>
      </c>
      <c r="DA6" s="235">
        <f ca="1">CZ6/SUBTOTAL(3,İstatistik[PG])</f>
        <v>1</v>
      </c>
      <c r="DB6" s="236">
        <f ca="1">SUMPRODUCT(SUBTOTAL(3,OFFSET(İstatistik[2FG],ROW(İstatistik[2FG])-MIN(ROW(İstatistik[2FG])),,1)),--(İstatistik[2FG]=CP6))</f>
        <v>0</v>
      </c>
      <c r="DC6" s="237">
        <f ca="1">DB6/SUBTOTAL(3,İstatistik[SG])</f>
        <v>0</v>
      </c>
      <c r="DD6" s="87">
        <v>2</v>
      </c>
      <c r="DE6" s="232">
        <f ca="1">SUMPRODUCT(SUBTOTAL(3,OFFSET(İstatistik[1Y],ROW(İstatistik[1Y])-MIN(ROW(İstatistik[1Y])),,1)),--(İstatistik[1Y]=CP6))</f>
        <v>1</v>
      </c>
      <c r="DF6" s="244">
        <f ca="1">DE6/SUBTOTAL(3,İstatistik[1Y])</f>
        <v>1</v>
      </c>
      <c r="DG6" s="234">
        <f ca="1">SUMPRODUCT(SUBTOTAL(3,OFFSET(İstatistik[0Y],ROW(İstatistik[0Y])-MIN(ROW(İstatistik[0Y])),,1)),--(İstatistik[0Y]=CP6))</f>
        <v>1</v>
      </c>
      <c r="DH6" s="235">
        <f ca="1">DG6/SUBTOTAL(3,İstatistik[0Y])</f>
        <v>1</v>
      </c>
      <c r="DI6" s="236">
        <f ca="1">SUMPRODUCT(SUBTOTAL(3,OFFSET(İstatistik[2Y],ROW(İstatistik[2Y])-MIN(ROW(İstatistik[2Y])),,1)),--(İstatistik[2Y]=CP6))</f>
        <v>0</v>
      </c>
      <c r="DJ6" s="237">
        <f ca="1">DI6/SUBTOTAL(3,İstatistik[2Y])</f>
        <v>0</v>
      </c>
      <c r="DQ6" s="256" t="s">
        <v>120</v>
      </c>
      <c r="DR6" s="257"/>
      <c r="DS6" s="258"/>
      <c r="DU6" s="158">
        <v>2</v>
      </c>
      <c r="DV6" s="150">
        <f>MIN(İstatistik[2])</f>
        <v>2</v>
      </c>
      <c r="DW6" s="151">
        <f>MAX(İstatistik[2])</f>
        <v>2</v>
      </c>
      <c r="DX6" s="150">
        <f>MIN(Dinamik[2])</f>
        <v>1</v>
      </c>
      <c r="DY6" s="151">
        <f>MAX(Dinamik[2])</f>
        <v>1</v>
      </c>
      <c r="EG6" s="152"/>
      <c r="EH6" s="152"/>
      <c r="EI6" s="152"/>
      <c r="EJ6" s="152"/>
      <c r="EK6" s="152"/>
      <c r="FF6" s="256"/>
      <c r="FG6" s="257"/>
      <c r="FH6" s="258"/>
      <c r="FW6" s="1">
        <f>SUBTOTAL(4,İstatistik[11])</f>
        <v>29</v>
      </c>
      <c r="FX6" s="1">
        <f>SUBTOTAL(5,İstatistik[12])</f>
        <v>29</v>
      </c>
      <c r="FY6" s="1">
        <f>SUBTOTAL(4,İstatistik[12])</f>
        <v>29</v>
      </c>
      <c r="FZ6" s="1">
        <f>SUBTOTAL(5,İstatistik[13])</f>
        <v>32</v>
      </c>
      <c r="GA6" s="1">
        <f>SUBTOTAL(4,İstatistik[13])</f>
        <v>32</v>
      </c>
      <c r="GB6" s="1">
        <f>SUBTOTAL(5,İstatistik[14])</f>
        <v>37</v>
      </c>
      <c r="GC6" s="1">
        <f>SUBTOTAL(4,İstatistik[14])</f>
        <v>37</v>
      </c>
      <c r="GD6" s="1">
        <f>SUBTOTAL(5,İstatistik[15])</f>
        <v>41</v>
      </c>
      <c r="GE6" s="1">
        <f>SUBTOTAL(4,İstatistik[15])</f>
        <v>41</v>
      </c>
      <c r="GL6" s="256"/>
      <c r="GM6" s="257"/>
      <c r="GN6" s="258"/>
    </row>
    <row r="7" spans="1:241" ht="11.1" customHeight="1" thickBot="1" x14ac:dyDescent="0.3">
      <c r="A7" s="259"/>
      <c r="B7" s="260"/>
      <c r="C7" s="261"/>
      <c r="F7" s="27" t="s">
        <v>6</v>
      </c>
      <c r="G7" s="28">
        <v>1</v>
      </c>
      <c r="H7" s="22">
        <v>0</v>
      </c>
      <c r="I7" s="22">
        <v>2</v>
      </c>
      <c r="J7" s="67"/>
      <c r="K7" s="67" t="s">
        <v>6</v>
      </c>
      <c r="L7" s="22">
        <v>1</v>
      </c>
      <c r="M7" s="28">
        <v>0</v>
      </c>
      <c r="N7" s="29">
        <v>2</v>
      </c>
      <c r="R7" s="122">
        <f t="shared" si="13"/>
        <v>54</v>
      </c>
      <c r="S7" s="80">
        <f t="shared" si="14"/>
        <v>24</v>
      </c>
      <c r="T7" s="123">
        <f t="shared" si="15"/>
        <v>22</v>
      </c>
      <c r="V7" s="130">
        <f>COUNTIFS(Veri_Girişi[1O],"&gt;="&amp;R7-2,Veri_Girişi[1O],"&lt;="&amp;R7+2,Veri_Girişi[0O],"&gt;="&amp;S7-2,Veri_Girişi[0O],"&lt;="&amp;S7+2,Veri_Girişi[2O],"&gt;="&amp;T7-2,Veri_Girişi[2O],"&lt;="&amp;T7+2)</f>
        <v>1</v>
      </c>
      <c r="W7" s="78">
        <f>IFERROR(ROUND((COUNTIFS(Veri_Girişi[1O],"&gt;="&amp;R7-2,Veri_Girişi[1O],"&lt;="&amp;R7+2,Veri_Girişi[0O],"&gt;="&amp;S7-2,Veri_Girişi[0O],"&lt;="&amp;S7+2,Veri_Girişi[2O],"&gt;="&amp;T7-2,Veri_Girişi[2O],"&lt;="&amp;T7+2,Veri_Girişi[S],1))*100/V7,0),0)</f>
        <v>100</v>
      </c>
      <c r="X7" s="78">
        <f>IFERROR(ROUND((COUNTIFS(Veri_Girişi[1O],"&gt;="&amp;R7-2,Veri_Girişi[1O],"&lt;="&amp;R7+2,Veri_Girişi[0O],"&gt;="&amp;S7-2,Veri_Girişi[0O],"&lt;="&amp;S7+2,Veri_Girişi[2O],"&gt;="&amp;T7-2,Veri_Girişi[2O],"&lt;="&amp;T7+2,Veri_Girişi[S],0))*100/V7,0),0)</f>
        <v>0</v>
      </c>
      <c r="Y7" s="131">
        <f>IFERROR(ROUND((COUNTIFS(Veri_Girişi[1O],"&gt;="&amp;R7-2,Veri_Girişi[1O],"&lt;="&amp;R7+2,Veri_Girişi[0O],"&gt;="&amp;S7-2,Veri_Girişi[0O],"&lt;="&amp;S7+2,Veri_Girişi[2O],"&gt;="&amp;T7-2,Veri_Girişi[2O],"&lt;="&amp;T7+2,Veri_Girişi[S],2))*100/V7,0),0)</f>
        <v>0</v>
      </c>
      <c r="AA7" s="122">
        <f t="shared" si="16"/>
        <v>7</v>
      </c>
      <c r="AB7" s="80">
        <f t="shared" si="17"/>
        <v>30</v>
      </c>
      <c r="AC7" s="123">
        <f t="shared" si="18"/>
        <v>32</v>
      </c>
      <c r="AE7" s="130">
        <f>COUNTIFS(Veri_Girişi[1S],"&gt;="&amp;AA7-2,Veri_Girişi[1S],"&lt;="&amp;AA7+2,Veri_Girişi[0S],"&gt;="&amp;AB7-2,Veri_Girişi[0S],"&lt;="&amp;AB7+2,Veri_Girişi[2S],"&gt;="&amp;AC7-2,Veri_Girişi[2S],"&lt;="&amp;AC7+2)</f>
        <v>0</v>
      </c>
      <c r="AF7" s="78">
        <f>IFERROR(ROUND((COUNTIFS(Veri_Girişi[1S],"&gt;="&amp;AA7-2,Veri_Girişi[1S],"&lt;="&amp;AA7+2,Veri_Girişi[0S],"&gt;="&amp;AB7-2,Veri_Girişi[0S],"&lt;="&amp;AB7+2,Veri_Girişi[2S],"&gt;="&amp;AC7-2,Veri_Girişi[2S],"&lt;="&amp;AC7+2,Veri_Girişi[S],1))*100/AE7,0),0)</f>
        <v>0</v>
      </c>
      <c r="AG7" s="78">
        <f>IFERROR(ROUND((COUNTIFS(Veri_Girişi[1S],"&gt;="&amp;AA7-2,Veri_Girişi[1S],"&lt;="&amp;AA7+2,Veri_Girişi[0S],"&gt;="&amp;AB7-2,Veri_Girişi[0S],"&lt;="&amp;AB7+2,Veri_Girişi[2S],"&gt;="&amp;AC7-2,Veri_Girişi[2S],"&lt;="&amp;AC7+2,Veri_Girişi[S],0))*100/AE7,0),0)</f>
        <v>0</v>
      </c>
      <c r="AH7" s="131">
        <f>IFERROR(ROUND((COUNTIFS(Veri_Girişi[1S],"&gt;="&amp;AA7-2,Veri_Girişi[1S],"&lt;="&amp;AA7+2,Veri_Girişi[0S],"&gt;="&amp;AB7-2,Veri_Girişi[0S],"&lt;="&amp;AB7+2,Veri_Girişi[2S],"&gt;="&amp;AC7-2,Veri_Girişi[2S],"&lt;="&amp;AC7+2,Veri_Girişi[S],2))*100/AE7,0),0)</f>
        <v>0</v>
      </c>
      <c r="AJ7" s="122" t="str">
        <f t="shared" si="19"/>
        <v>F</v>
      </c>
      <c r="AK7" s="80" t="str">
        <f t="shared" si="20"/>
        <v>P</v>
      </c>
      <c r="AL7" s="123" t="str">
        <f t="shared" si="21"/>
        <v>S</v>
      </c>
      <c r="AP7" s="267"/>
      <c r="AQ7" s="268"/>
      <c r="AR7" s="269"/>
      <c r="AT7" s="106">
        <v>5</v>
      </c>
      <c r="AU7" s="4" t="s">
        <v>20</v>
      </c>
      <c r="AV7" s="5" t="s">
        <v>115</v>
      </c>
      <c r="AW7" s="6">
        <v>0</v>
      </c>
      <c r="AX7" s="7">
        <v>58</v>
      </c>
      <c r="AY7" s="8">
        <v>22</v>
      </c>
      <c r="AZ7" s="9">
        <v>20</v>
      </c>
      <c r="BA7" s="6">
        <f t="shared" si="1"/>
        <v>22</v>
      </c>
      <c r="BB7" s="7" t="str">
        <f t="shared" si="2"/>
        <v>F</v>
      </c>
      <c r="BC7" s="8" t="str">
        <f t="shared" si="3"/>
        <v>P</v>
      </c>
      <c r="BD7" s="9" t="str">
        <f t="shared" si="4"/>
        <v>S</v>
      </c>
      <c r="BE7" s="6" t="str">
        <f t="shared" si="5"/>
        <v>P</v>
      </c>
      <c r="BF7" s="7">
        <f t="shared" si="6"/>
        <v>6</v>
      </c>
      <c r="BG7" s="8">
        <f t="shared" si="7"/>
        <v>32</v>
      </c>
      <c r="BH7" s="9">
        <f t="shared" si="8"/>
        <v>36</v>
      </c>
      <c r="BI7" s="107">
        <f t="shared" si="9"/>
        <v>32</v>
      </c>
      <c r="CB7" s="259"/>
      <c r="CC7" s="260"/>
      <c r="CD7" s="261"/>
      <c r="CJ7" s="238">
        <f ca="1">SUMPRODUCT(SUBTOTAL(3,OFFSET(İstatistik[1G],ROW(İstatistik[1G])-MIN(ROW(İstatistik[1G])),,1)),--(İstatistik[1G]=CP7))</f>
        <v>0</v>
      </c>
      <c r="CK7" s="239">
        <f ca="1">CJ7/SUBTOTAL(3,İstatistik[1G])</f>
        <v>0</v>
      </c>
      <c r="CL7" s="240">
        <f ca="1">SUMPRODUCT(SUBTOTAL(3,OFFSET(İstatistik[0G],ROW(İstatistik[0G])-MIN(ROW(İstatistik[0G])),,1)),--(İstatistik[0G]=CP7))</f>
        <v>1</v>
      </c>
      <c r="CM7" s="241">
        <f ca="1">CL7/SUBTOTAL(3,İstatistik[0G])</f>
        <v>1</v>
      </c>
      <c r="CN7" s="242">
        <f ca="1">SUMPRODUCT(SUBTOTAL(3,OFFSET(İstatistik[2G],ROW(İstatistik[2G])-MIN(ROW(İstatistik[2G])),,1)),--(İstatistik[2G]=CP7))</f>
        <v>0</v>
      </c>
      <c r="CO7" s="243">
        <f ca="1">CN7/SUBTOTAL(3,İstatistik[2G])</f>
        <v>0</v>
      </c>
      <c r="CP7" s="87">
        <v>3</v>
      </c>
      <c r="CQ7" s="238">
        <f ca="1">SUMPRODUCT(SUBTOTAL(3,OFFSET(İstatistik[FG],ROW(İstatistik[FG])-MIN(ROW(İstatistik[FG])),,1)),--(İstatistik[FG]=CP7))</f>
        <v>0</v>
      </c>
      <c r="CR7" s="239">
        <f ca="1">CQ7/SUBTOTAL(3,İstatistik[FG])</f>
        <v>0</v>
      </c>
      <c r="CS7" s="240">
        <f ca="1">SUMPRODUCT(SUBTOTAL(3,OFFSET(İstatistik[PG],ROW(İstatistik[PG])-MIN(ROW(İstatistik[PG])),,1)),--(İstatistik[PG]=CP7))</f>
        <v>0</v>
      </c>
      <c r="CT7" s="241">
        <f ca="1">CS7/SUBTOTAL(3,İstatistik[PG])</f>
        <v>0</v>
      </c>
      <c r="CU7" s="242">
        <f ca="1">SUMPRODUCT(SUBTOTAL(3,OFFSET(İstatistik[SG],ROW(İstatistik[SG])-MIN(ROW(İstatistik[SG])),,1)),--(İstatistik[SG]=CP7))</f>
        <v>0</v>
      </c>
      <c r="CV7" s="243">
        <f ca="1">CU7/SUBTOTAL(3,İstatistik[SG])</f>
        <v>0</v>
      </c>
      <c r="CW7" s="87">
        <v>3</v>
      </c>
      <c r="CX7" s="238">
        <f ca="1">SUMPRODUCT(SUBTOTAL(3,OFFSET(İstatistik[1FG],ROW(İstatistik[1FG])-MIN(ROW(İstatistik[1FG])),,1)),--(İstatistik[1FG]=CP7))</f>
        <v>0</v>
      </c>
      <c r="CY7" s="239">
        <f ca="1">CX7/SUBTOTAL(3,İstatistik[FG])</f>
        <v>0</v>
      </c>
      <c r="CZ7" s="240">
        <f ca="1">SUMPRODUCT(SUBTOTAL(3,OFFSET(İstatistik[0FG],ROW(İstatistik[0FG])-MIN(ROW(İstatistik[0FG])),,1)),--(İstatistik[0FG]=CP7))</f>
        <v>0</v>
      </c>
      <c r="DA7" s="241">
        <f ca="1">CZ7/SUBTOTAL(3,İstatistik[PG])</f>
        <v>0</v>
      </c>
      <c r="DB7" s="242">
        <f ca="1">SUMPRODUCT(SUBTOTAL(3,OFFSET(İstatistik[2FG],ROW(İstatistik[2FG])-MIN(ROW(İstatistik[2FG])),,1)),--(İstatistik[2FG]=CP7))</f>
        <v>0</v>
      </c>
      <c r="DC7" s="243">
        <f ca="1">DB7/SUBTOTAL(3,İstatistik[SG])</f>
        <v>0</v>
      </c>
      <c r="DD7" s="87">
        <v>3</v>
      </c>
      <c r="DE7" s="238">
        <f ca="1">SUMPRODUCT(SUBTOTAL(3,OFFSET(İstatistik[1Y],ROW(İstatistik[1Y])-MIN(ROW(İstatistik[1Y])),,1)),--(İstatistik[1Y]=CP7))</f>
        <v>0</v>
      </c>
      <c r="DF7" s="239">
        <f ca="1">DE7/SUBTOTAL(3,İstatistik[1Y])</f>
        <v>0</v>
      </c>
      <c r="DG7" s="240">
        <f ca="1">SUMPRODUCT(SUBTOTAL(3,OFFSET(İstatistik[0Y],ROW(İstatistik[0Y])-MIN(ROW(İstatistik[0Y])),,1)),--(İstatistik[0Y]=CP7))</f>
        <v>0</v>
      </c>
      <c r="DH7" s="241">
        <f ca="1">DG7/SUBTOTAL(3,İstatistik[0Y])</f>
        <v>0</v>
      </c>
      <c r="DI7" s="242">
        <f ca="1">SUMPRODUCT(SUBTOTAL(3,OFFSET(İstatistik[2Y],ROW(İstatistik[2Y])-MIN(ROW(İstatistik[2Y])),,1)),--(İstatistik[2Y]=CP7))</f>
        <v>1</v>
      </c>
      <c r="DJ7" s="243">
        <f ca="1">DI7/SUBTOTAL(3,İstatistik[2Y])</f>
        <v>1</v>
      </c>
      <c r="DQ7" s="259"/>
      <c r="DR7" s="260"/>
      <c r="DS7" s="261"/>
      <c r="DU7" s="158">
        <v>3</v>
      </c>
      <c r="DV7" s="148">
        <f>MIN(İstatistik[3])</f>
        <v>3</v>
      </c>
      <c r="DW7" s="149">
        <f>MAX(İstatistik[3])</f>
        <v>3</v>
      </c>
      <c r="DX7" s="148">
        <f>MIN(Dinamik[3])</f>
        <v>1</v>
      </c>
      <c r="DY7" s="149">
        <f>MAX(Dinamik[3])</f>
        <v>1</v>
      </c>
      <c r="EG7" s="152"/>
      <c r="EH7" s="152"/>
      <c r="EI7" s="152"/>
      <c r="EJ7" s="152"/>
      <c r="EK7" s="152"/>
      <c r="FF7" s="259"/>
      <c r="FG7" s="260"/>
      <c r="FH7" s="261"/>
      <c r="GL7" s="259"/>
      <c r="GM7" s="260"/>
      <c r="GN7" s="261"/>
      <c r="IB7" s="1" t="s">
        <v>57</v>
      </c>
      <c r="IG7" s="1" t="s">
        <v>56</v>
      </c>
    </row>
    <row r="8" spans="1:241" ht="11.1" customHeight="1" thickBot="1" x14ac:dyDescent="0.3">
      <c r="F8" s="46">
        <f>COUNTIF(Veri_Girişi[Ev Sahibi],E3)</f>
        <v>1</v>
      </c>
      <c r="G8" s="81">
        <f>COUNTIFS(Veri_Girişi[Ev Sahibi],E3,Veri_Girişi[S],1)</f>
        <v>0</v>
      </c>
      <c r="H8" s="81">
        <f>COUNTIFS(Veri_Girişi[Ev Sahibi],E3,Veri_Girişi[S],0)</f>
        <v>0</v>
      </c>
      <c r="I8" s="82">
        <f>COUNTIFS(Veri_Girişi[Ev Sahibi],E3,Veri_Girişi[S],2)</f>
        <v>1</v>
      </c>
      <c r="K8" s="13">
        <f>COUNTIF(Veri_Girişi[Deplasman],K3)</f>
        <v>0</v>
      </c>
      <c r="L8" s="11">
        <f>COUNTIFS(Veri_Girişi[Deplasman],K3,Veri_Girişi[S],1)</f>
        <v>0</v>
      </c>
      <c r="M8" s="11">
        <f>COUNTIFS(Veri_Girişi[Deplasman],K3,Veri_Girişi[S],0)</f>
        <v>0</v>
      </c>
      <c r="N8" s="12">
        <f>COUNTIFS(Veri_Girişi[Deplasman],K3,Veri_Girişi[S],2)</f>
        <v>0</v>
      </c>
      <c r="R8" s="122">
        <f t="shared" si="13"/>
        <v>38</v>
      </c>
      <c r="S8" s="80">
        <f t="shared" si="14"/>
        <v>26</v>
      </c>
      <c r="T8" s="123">
        <f t="shared" si="15"/>
        <v>36</v>
      </c>
      <c r="V8" s="130">
        <f>COUNTIFS(Veri_Girişi[1O],"&gt;="&amp;R8-2,Veri_Girişi[1O],"&lt;="&amp;R8+2,Veri_Girişi[0O],"&gt;="&amp;S8-2,Veri_Girişi[0O],"&lt;="&amp;S8+2,Veri_Girişi[2O],"&gt;="&amp;T8-2,Veri_Girişi[2O],"&lt;="&amp;T8+2)</f>
        <v>1</v>
      </c>
      <c r="W8" s="78">
        <f>IFERROR(ROUND((COUNTIFS(Veri_Girişi[1O],"&gt;="&amp;R8-2,Veri_Girişi[1O],"&lt;="&amp;R8+2,Veri_Girişi[0O],"&gt;="&amp;S8-2,Veri_Girişi[0O],"&lt;="&amp;S8+2,Veri_Girişi[2O],"&gt;="&amp;T8-2,Veri_Girişi[2O],"&lt;="&amp;T8+2,Veri_Girişi[S],1))*100/V8,0),0)</f>
        <v>100</v>
      </c>
      <c r="X8" s="78">
        <f>IFERROR(ROUND((COUNTIFS(Veri_Girişi[1O],"&gt;="&amp;R8-2,Veri_Girişi[1O],"&lt;="&amp;R8+2,Veri_Girişi[0O],"&gt;="&amp;S8-2,Veri_Girişi[0O],"&lt;="&amp;S8+2,Veri_Girişi[2O],"&gt;="&amp;T8-2,Veri_Girişi[2O],"&lt;="&amp;T8+2,Veri_Girişi[S],0))*100/V8,0),0)</f>
        <v>0</v>
      </c>
      <c r="Y8" s="131">
        <f>IFERROR(ROUND((COUNTIFS(Veri_Girişi[1O],"&gt;="&amp;R8-2,Veri_Girişi[1O],"&lt;="&amp;R8+2,Veri_Girişi[0O],"&gt;="&amp;S8-2,Veri_Girişi[0O],"&lt;="&amp;S8+2,Veri_Girişi[2O],"&gt;="&amp;T8-2,Veri_Girişi[2O],"&lt;="&amp;T8+2,Veri_Girişi[S],2))*100/V8,0),0)</f>
        <v>0</v>
      </c>
      <c r="AA8" s="122">
        <f t="shared" si="16"/>
        <v>15</v>
      </c>
      <c r="AB8" s="80">
        <f t="shared" si="17"/>
        <v>26</v>
      </c>
      <c r="AC8" s="123">
        <f t="shared" si="18"/>
        <v>16</v>
      </c>
      <c r="AE8" s="130">
        <f>COUNTIFS(Veri_Girişi[1S],"&gt;="&amp;AA8-2,Veri_Girişi[1S],"&lt;="&amp;AA8+2,Veri_Girişi[0S],"&gt;="&amp;AB8-2,Veri_Girişi[0S],"&lt;="&amp;AB8+2,Veri_Girişi[2S],"&gt;="&amp;AC8-2,Veri_Girişi[2S],"&lt;="&amp;AC8+2)</f>
        <v>1</v>
      </c>
      <c r="AF8" s="78">
        <f>IFERROR(ROUND((COUNTIFS(Veri_Girişi[1S],"&gt;="&amp;AA8-2,Veri_Girişi[1S],"&lt;="&amp;AA8+2,Veri_Girişi[0S],"&gt;="&amp;AB8-2,Veri_Girişi[0S],"&lt;="&amp;AB8+2,Veri_Girişi[2S],"&gt;="&amp;AC8-2,Veri_Girişi[2S],"&lt;="&amp;AC8+2,Veri_Girişi[S],1))*100/AE8,0),0)</f>
        <v>100</v>
      </c>
      <c r="AG8" s="78">
        <f>IFERROR(ROUND((COUNTIFS(Veri_Girişi[1S],"&gt;="&amp;AA8-2,Veri_Girişi[1S],"&lt;="&amp;AA8+2,Veri_Girişi[0S],"&gt;="&amp;AB8-2,Veri_Girişi[0S],"&lt;="&amp;AB8+2,Veri_Girişi[2S],"&gt;="&amp;AC8-2,Veri_Girişi[2S],"&lt;="&amp;AC8+2,Veri_Girişi[S],0))*100/AE8,0),0)</f>
        <v>0</v>
      </c>
      <c r="AH8" s="131">
        <f>IFERROR(ROUND((COUNTIFS(Veri_Girişi[1S],"&gt;="&amp;AA8-2,Veri_Girişi[1S],"&lt;="&amp;AA8+2,Veri_Girişi[0S],"&gt;="&amp;AB8-2,Veri_Girişi[0S],"&lt;="&amp;AB8+2,Veri_Girişi[2S],"&gt;="&amp;AC8-2,Veri_Girişi[2S],"&lt;="&amp;AC8+2,Veri_Girişi[S],2))*100/AE8,0),0)</f>
        <v>0</v>
      </c>
      <c r="AJ8" s="122" t="str">
        <f t="shared" si="19"/>
        <v>F</v>
      </c>
      <c r="AK8" s="80" t="str">
        <f t="shared" si="20"/>
        <v>S</v>
      </c>
      <c r="AL8" s="123" t="str">
        <f t="shared" si="21"/>
        <v>P</v>
      </c>
      <c r="AT8" s="106">
        <v>6</v>
      </c>
      <c r="AU8" s="4" t="s">
        <v>26</v>
      </c>
      <c r="AV8" s="5" t="s">
        <v>25</v>
      </c>
      <c r="AW8" s="6">
        <v>1</v>
      </c>
      <c r="AX8" s="7">
        <v>47</v>
      </c>
      <c r="AY8" s="8">
        <v>28</v>
      </c>
      <c r="AZ8" s="9">
        <v>25</v>
      </c>
      <c r="BA8" s="6">
        <f t="shared" si="1"/>
        <v>47</v>
      </c>
      <c r="BB8" s="7" t="str">
        <f t="shared" si="2"/>
        <v>F</v>
      </c>
      <c r="BC8" s="8" t="str">
        <f t="shared" si="3"/>
        <v>P</v>
      </c>
      <c r="BD8" s="9" t="str">
        <f t="shared" si="4"/>
        <v>S</v>
      </c>
      <c r="BE8" s="6" t="str">
        <f t="shared" si="5"/>
        <v>F</v>
      </c>
      <c r="BF8" s="7">
        <f t="shared" si="6"/>
        <v>9</v>
      </c>
      <c r="BG8" s="8">
        <f t="shared" si="7"/>
        <v>21</v>
      </c>
      <c r="BH8" s="9">
        <f t="shared" si="8"/>
        <v>28</v>
      </c>
      <c r="BI8" s="107">
        <f t="shared" si="9"/>
        <v>9</v>
      </c>
      <c r="CJ8" s="232">
        <f ca="1">SUMPRODUCT(SUBTOTAL(3,OFFSET(İstatistik[1G],ROW(İstatistik[1G])-MIN(ROW(İstatistik[1G])),,1)),--(İstatistik[1G]=CP8))</f>
        <v>0</v>
      </c>
      <c r="CK8" s="244">
        <f ca="1">CJ8/SUBTOTAL(3,İstatistik[1G])</f>
        <v>0</v>
      </c>
      <c r="CL8" s="234">
        <f ca="1">SUMPRODUCT(SUBTOTAL(3,OFFSET(İstatistik[0G],ROW(İstatistik[0G])-MIN(ROW(İstatistik[0G])),,1)),--(İstatistik[0G]=CP8))</f>
        <v>0</v>
      </c>
      <c r="CM8" s="235">
        <f ca="1">CL8/SUBTOTAL(3,İstatistik[0G])</f>
        <v>0</v>
      </c>
      <c r="CN8" s="236">
        <f ca="1">SUMPRODUCT(SUBTOTAL(3,OFFSET(İstatistik[2G],ROW(İstatistik[2G])-MIN(ROW(İstatistik[2G])),,1)),--(İstatistik[2G]=CP8))</f>
        <v>0</v>
      </c>
      <c r="CO8" s="237">
        <f ca="1">CN8/SUBTOTAL(3,İstatistik[2G])</f>
        <v>0</v>
      </c>
      <c r="CP8" s="87">
        <v>4</v>
      </c>
      <c r="CQ8" s="232">
        <f ca="1">SUMPRODUCT(SUBTOTAL(3,OFFSET(İstatistik[FG],ROW(İstatistik[FG])-MIN(ROW(İstatistik[FG])),,1)),--(İstatistik[FG]=CP8))</f>
        <v>0</v>
      </c>
      <c r="CR8" s="244">
        <f ca="1">CQ8/SUBTOTAL(3,İstatistik[FG])</f>
        <v>0</v>
      </c>
      <c r="CS8" s="234">
        <f ca="1">SUMPRODUCT(SUBTOTAL(3,OFFSET(İstatistik[PG],ROW(İstatistik[PG])-MIN(ROW(İstatistik[PG])),,1)),--(İstatistik[PG]=CP8))</f>
        <v>0</v>
      </c>
      <c r="CT8" s="235">
        <f ca="1">CS8/SUBTOTAL(3,İstatistik[PG])</f>
        <v>0</v>
      </c>
      <c r="CU8" s="236">
        <f ca="1">SUMPRODUCT(SUBTOTAL(3,OFFSET(İstatistik[SG],ROW(İstatistik[SG])-MIN(ROW(İstatistik[SG])),,1)),--(İstatistik[SG]=CP8))</f>
        <v>0</v>
      </c>
      <c r="CV8" s="237">
        <f ca="1">CU8/SUBTOTAL(3,İstatistik[SG])</f>
        <v>0</v>
      </c>
      <c r="CW8" s="87">
        <v>4</v>
      </c>
      <c r="CX8" s="232">
        <f ca="1">SUMPRODUCT(SUBTOTAL(3,OFFSET(İstatistik[1FG],ROW(İstatistik[1FG])-MIN(ROW(İstatistik[1FG])),,1)),--(İstatistik[1FG]=CP8))</f>
        <v>0</v>
      </c>
      <c r="CY8" s="244">
        <f ca="1">CX8/SUBTOTAL(3,İstatistik[FG])</f>
        <v>0</v>
      </c>
      <c r="CZ8" s="234">
        <f ca="1">SUMPRODUCT(SUBTOTAL(3,OFFSET(İstatistik[0FG],ROW(İstatistik[0FG])-MIN(ROW(İstatistik[0FG])),,1)),--(İstatistik[0FG]=CP8))</f>
        <v>0</v>
      </c>
      <c r="DA8" s="235">
        <f ca="1">CZ8/SUBTOTAL(3,İstatistik[PG])</f>
        <v>0</v>
      </c>
      <c r="DB8" s="236">
        <f ca="1">SUMPRODUCT(SUBTOTAL(3,OFFSET(İstatistik[2FG],ROW(İstatistik[2FG])-MIN(ROW(İstatistik[2FG])),,1)),--(İstatistik[2FG]=CP8))</f>
        <v>1</v>
      </c>
      <c r="DC8" s="237">
        <f ca="1">DB8/SUBTOTAL(3,İstatistik[SG])</f>
        <v>1</v>
      </c>
      <c r="DD8" s="87">
        <v>4</v>
      </c>
      <c r="DE8" s="232">
        <f ca="1">SUMPRODUCT(SUBTOTAL(3,OFFSET(İstatistik[1Y],ROW(İstatistik[1Y])-MIN(ROW(İstatistik[1Y])),,1)),--(İstatistik[1Y]=CP8))</f>
        <v>0</v>
      </c>
      <c r="DF8" s="244">
        <f ca="1">DE8/SUBTOTAL(3,İstatistik[1Y])</f>
        <v>0</v>
      </c>
      <c r="DG8" s="234">
        <f ca="1">SUMPRODUCT(SUBTOTAL(3,OFFSET(İstatistik[0Y],ROW(İstatistik[0Y])-MIN(ROW(İstatistik[0Y])),,1)),--(İstatistik[0Y]=CP8))</f>
        <v>0</v>
      </c>
      <c r="DH8" s="235">
        <f ca="1">DG8/SUBTOTAL(3,İstatistik[0Y])</f>
        <v>0</v>
      </c>
      <c r="DI8" s="236">
        <f ca="1">SUMPRODUCT(SUBTOTAL(3,OFFSET(İstatistik[2Y],ROW(İstatistik[2Y])-MIN(ROW(İstatistik[2Y])),,1)),--(İstatistik[2Y]=CP8))</f>
        <v>0</v>
      </c>
      <c r="DJ8" s="237">
        <f ca="1">DI8/SUBTOTAL(3,İstatistik[2Y])</f>
        <v>0</v>
      </c>
      <c r="DU8" s="158">
        <v>4</v>
      </c>
      <c r="DV8" s="150">
        <f>MIN(İstatistik[4])</f>
        <v>5</v>
      </c>
      <c r="DW8" s="151">
        <f>MAX(İstatistik[4])</f>
        <v>5</v>
      </c>
      <c r="DX8" s="150">
        <f>MIN(Dinamik[4])</f>
        <v>1</v>
      </c>
      <c r="DY8" s="151">
        <f>MAX(Dinamik[4])</f>
        <v>1</v>
      </c>
      <c r="EG8" s="152"/>
      <c r="EH8" s="152"/>
      <c r="EI8" s="152"/>
      <c r="EJ8" s="152"/>
      <c r="EK8" s="152"/>
      <c r="IA8" s="1">
        <v>1</v>
      </c>
      <c r="IB8" s="1">
        <f>MIN(İstatistik[1])</f>
        <v>1</v>
      </c>
    </row>
    <row r="9" spans="1:241" ht="11.1" customHeight="1" thickBot="1" x14ac:dyDescent="0.3">
      <c r="A9" s="256" t="s">
        <v>138</v>
      </c>
      <c r="B9" s="257"/>
      <c r="C9" s="258"/>
      <c r="F9" s="83" t="s">
        <v>64</v>
      </c>
      <c r="G9" s="84">
        <f>IFERROR(ROUND((G8*100)/$F$8,0),0)</f>
        <v>0</v>
      </c>
      <c r="H9" s="84">
        <f>IFERROR(ROUND((H8*100)/$F$8,0),0)</f>
        <v>0</v>
      </c>
      <c r="I9" s="85">
        <f>IFERROR(ROUND((I8*100)/$F$8,0),0)</f>
        <v>100</v>
      </c>
      <c r="K9" s="68" t="s">
        <v>64</v>
      </c>
      <c r="L9" s="84">
        <f>IFERROR(ROUND((L8*100)/$K$8,0),0)</f>
        <v>0</v>
      </c>
      <c r="M9" s="84">
        <f>IFERROR(ROUND((M8*100)/$K$8,0),0)</f>
        <v>0</v>
      </c>
      <c r="N9" s="85">
        <f>IFERROR(ROUND((N8*100)/$K$8,0),0)</f>
        <v>0</v>
      </c>
      <c r="R9" s="122">
        <f t="shared" si="13"/>
        <v>58</v>
      </c>
      <c r="S9" s="80">
        <f t="shared" si="14"/>
        <v>22</v>
      </c>
      <c r="T9" s="123">
        <f t="shared" si="15"/>
        <v>20</v>
      </c>
      <c r="V9" s="130">
        <f>COUNTIFS(Veri_Girişi[1O],"&gt;="&amp;R9-2,Veri_Girişi[1O],"&lt;="&amp;R9+2,Veri_Girişi[0O],"&gt;="&amp;S9-2,Veri_Girişi[0O],"&lt;="&amp;S9+2,Veri_Girişi[2O],"&gt;="&amp;T9-2,Veri_Girişi[2O],"&lt;="&amp;T9+2)</f>
        <v>1</v>
      </c>
      <c r="W9" s="78">
        <f>IFERROR(ROUND((COUNTIFS(Veri_Girişi[1O],"&gt;="&amp;R9-2,Veri_Girişi[1O],"&lt;="&amp;R9+2,Veri_Girişi[0O],"&gt;="&amp;S9-2,Veri_Girişi[0O],"&lt;="&amp;S9+2,Veri_Girişi[2O],"&gt;="&amp;T9-2,Veri_Girişi[2O],"&lt;="&amp;T9+2,Veri_Girişi[S],1))*100/V9,0),0)</f>
        <v>0</v>
      </c>
      <c r="X9" s="78">
        <f>IFERROR(ROUND((COUNTIFS(Veri_Girişi[1O],"&gt;="&amp;R9-2,Veri_Girişi[1O],"&lt;="&amp;R9+2,Veri_Girişi[0O],"&gt;="&amp;S9-2,Veri_Girişi[0O],"&lt;="&amp;S9+2,Veri_Girişi[2O],"&gt;="&amp;T9-2,Veri_Girişi[2O],"&lt;="&amp;T9+2,Veri_Girişi[S],0))*100/V9,0),0)</f>
        <v>100</v>
      </c>
      <c r="Y9" s="131">
        <f>IFERROR(ROUND((COUNTIFS(Veri_Girişi[1O],"&gt;="&amp;R9-2,Veri_Girişi[1O],"&lt;="&amp;R9+2,Veri_Girişi[0O],"&gt;="&amp;S9-2,Veri_Girişi[0O],"&lt;="&amp;S9+2,Veri_Girişi[2O],"&gt;="&amp;T9-2,Veri_Girişi[2O],"&lt;="&amp;T9+2,Veri_Girişi[S],2))*100/V9,0),0)</f>
        <v>0</v>
      </c>
      <c r="AA9" s="122">
        <f t="shared" si="16"/>
        <v>6</v>
      </c>
      <c r="AB9" s="80">
        <f t="shared" si="17"/>
        <v>32</v>
      </c>
      <c r="AC9" s="123">
        <f t="shared" si="18"/>
        <v>36</v>
      </c>
      <c r="AE9" s="130">
        <f>COUNTIFS(Veri_Girişi[1S],"&gt;="&amp;AA9-2,Veri_Girişi[1S],"&lt;="&amp;AA9+2,Veri_Girişi[0S],"&gt;="&amp;AB9-2,Veri_Girişi[0S],"&lt;="&amp;AB9+2,Veri_Girişi[2S],"&gt;="&amp;AC9-2,Veri_Girişi[2S],"&lt;="&amp;AC9+2)</f>
        <v>0</v>
      </c>
      <c r="AF9" s="78">
        <f>IFERROR(ROUND((COUNTIFS(Veri_Girişi[1S],"&gt;="&amp;AA9-2,Veri_Girişi[1S],"&lt;="&amp;AA9+2,Veri_Girişi[0S],"&gt;="&amp;AB9-2,Veri_Girişi[0S],"&lt;="&amp;AB9+2,Veri_Girişi[2S],"&gt;="&amp;AC9-2,Veri_Girişi[2S],"&lt;="&amp;AC9+2,Veri_Girişi[S],1))*100/AE9,0),0)</f>
        <v>0</v>
      </c>
      <c r="AG9" s="78">
        <f>IFERROR(ROUND((COUNTIFS(Veri_Girişi[1S],"&gt;="&amp;AA9-2,Veri_Girişi[1S],"&lt;="&amp;AA9+2,Veri_Girişi[0S],"&gt;="&amp;AB9-2,Veri_Girişi[0S],"&lt;="&amp;AB9+2,Veri_Girişi[2S],"&gt;="&amp;AC9-2,Veri_Girişi[2S],"&lt;="&amp;AC9+2,Veri_Girişi[S],0))*100/AE9,0),0)</f>
        <v>0</v>
      </c>
      <c r="AH9" s="131">
        <f>IFERROR(ROUND((COUNTIFS(Veri_Girişi[1S],"&gt;="&amp;AA9-2,Veri_Girişi[1S],"&lt;="&amp;AA9+2,Veri_Girişi[0S],"&gt;="&amp;AB9-2,Veri_Girişi[0S],"&lt;="&amp;AB9+2,Veri_Girişi[2S],"&gt;="&amp;AC9-2,Veri_Girişi[2S],"&lt;="&amp;AC9+2,Veri_Girişi[S],2))*100/AE9,0),0)</f>
        <v>0</v>
      </c>
      <c r="AJ9" s="122" t="str">
        <f t="shared" si="19"/>
        <v>F</v>
      </c>
      <c r="AK9" s="80" t="str">
        <f t="shared" si="20"/>
        <v>P</v>
      </c>
      <c r="AL9" s="123" t="str">
        <f t="shared" si="21"/>
        <v>S</v>
      </c>
      <c r="AP9" s="280" t="s">
        <v>138</v>
      </c>
      <c r="AQ9" s="281"/>
      <c r="AR9" s="282"/>
      <c r="AT9" s="106">
        <v>7</v>
      </c>
      <c r="AU9" s="4" t="s">
        <v>12</v>
      </c>
      <c r="AV9" s="5" t="s">
        <v>17</v>
      </c>
      <c r="AW9" s="6">
        <v>0</v>
      </c>
      <c r="AX9" s="7">
        <v>32</v>
      </c>
      <c r="AY9" s="8">
        <v>28</v>
      </c>
      <c r="AZ9" s="9">
        <v>40</v>
      </c>
      <c r="BA9" s="6">
        <f t="shared" si="1"/>
        <v>28</v>
      </c>
      <c r="BB9" s="7" t="str">
        <f t="shared" si="2"/>
        <v>P</v>
      </c>
      <c r="BC9" s="8" t="str">
        <f t="shared" si="3"/>
        <v>S</v>
      </c>
      <c r="BD9" s="9" t="str">
        <f t="shared" si="4"/>
        <v>F</v>
      </c>
      <c r="BE9" s="6" t="str">
        <f t="shared" si="5"/>
        <v>S</v>
      </c>
      <c r="BF9" s="7">
        <f t="shared" si="6"/>
        <v>17</v>
      </c>
      <c r="BG9" s="8">
        <f t="shared" si="7"/>
        <v>21</v>
      </c>
      <c r="BH9" s="9">
        <f t="shared" si="8"/>
        <v>14</v>
      </c>
      <c r="BI9" s="107">
        <f t="shared" si="9"/>
        <v>21</v>
      </c>
      <c r="CB9" s="264" t="s">
        <v>138</v>
      </c>
      <c r="CC9" s="265"/>
      <c r="CD9" s="266"/>
      <c r="CJ9" s="238">
        <f ca="1">SUMPRODUCT(SUBTOTAL(3,OFFSET(İstatistik[1G],ROW(İstatistik[1G])-MIN(ROW(İstatistik[1G])),,1)),--(İstatistik[1G]=CP9))</f>
        <v>1</v>
      </c>
      <c r="CK9" s="239">
        <f ca="1">CJ9/SUBTOTAL(3,İstatistik[1G])</f>
        <v>1</v>
      </c>
      <c r="CL9" s="240">
        <f ca="1">SUMPRODUCT(SUBTOTAL(3,OFFSET(İstatistik[0G],ROW(İstatistik[0G])-MIN(ROW(İstatistik[0G])),,1)),--(İstatistik[0G]=CP9))</f>
        <v>0</v>
      </c>
      <c r="CM9" s="241">
        <f ca="1">CL9/SUBTOTAL(3,İstatistik[0G])</f>
        <v>0</v>
      </c>
      <c r="CN9" s="242">
        <f ca="1">SUMPRODUCT(SUBTOTAL(3,OFFSET(İstatistik[2G],ROW(İstatistik[2G])-MIN(ROW(İstatistik[2G])),,1)),--(İstatistik[2G]=CP9))</f>
        <v>0</v>
      </c>
      <c r="CO9" s="243">
        <f ca="1">CN9/SUBTOTAL(3,İstatistik[2G])</f>
        <v>0</v>
      </c>
      <c r="CP9" s="87">
        <v>5</v>
      </c>
      <c r="CQ9" s="238">
        <f ca="1">SUMPRODUCT(SUBTOTAL(3,OFFSET(İstatistik[FG],ROW(İstatistik[FG])-MIN(ROW(İstatistik[FG])),,1)),--(İstatistik[FG]=CP9))</f>
        <v>0</v>
      </c>
      <c r="CR9" s="239">
        <f ca="1">CQ9/SUBTOTAL(3,İstatistik[FG])</f>
        <v>0</v>
      </c>
      <c r="CS9" s="240">
        <f ca="1">SUMPRODUCT(SUBTOTAL(3,OFFSET(İstatistik[PG],ROW(İstatistik[PG])-MIN(ROW(İstatistik[PG])),,1)),--(İstatistik[PG]=CP9))</f>
        <v>0</v>
      </c>
      <c r="CT9" s="241">
        <f ca="1">CS9/SUBTOTAL(3,İstatistik[PG])</f>
        <v>0</v>
      </c>
      <c r="CU9" s="242">
        <f ca="1">SUMPRODUCT(SUBTOTAL(3,OFFSET(İstatistik[SG],ROW(İstatistik[SG])-MIN(ROW(İstatistik[SG])),,1)),--(İstatistik[SG]=CP9))</f>
        <v>1</v>
      </c>
      <c r="CV9" s="243">
        <f ca="1">CU9/SUBTOTAL(3,İstatistik[SG])</f>
        <v>1</v>
      </c>
      <c r="CW9" s="87">
        <v>5</v>
      </c>
      <c r="CX9" s="238">
        <f ca="1">SUMPRODUCT(SUBTOTAL(3,OFFSET(İstatistik[1FG],ROW(İstatistik[1FG])-MIN(ROW(İstatistik[1FG])),,1)),--(İstatistik[1FG]=CP9))</f>
        <v>1</v>
      </c>
      <c r="CY9" s="239">
        <f ca="1">CX9/SUBTOTAL(3,İstatistik[FG])</f>
        <v>1</v>
      </c>
      <c r="CZ9" s="240">
        <f ca="1">SUMPRODUCT(SUBTOTAL(3,OFFSET(İstatistik[0FG],ROW(İstatistik[0FG])-MIN(ROW(İstatistik[0FG])),,1)),--(İstatistik[0FG]=CP9))</f>
        <v>0</v>
      </c>
      <c r="DA9" s="241">
        <f ca="1">CZ9/SUBTOTAL(3,İstatistik[PG])</f>
        <v>0</v>
      </c>
      <c r="DB9" s="242">
        <f ca="1">SUMPRODUCT(SUBTOTAL(3,OFFSET(İstatistik[2FG],ROW(İstatistik[2FG])-MIN(ROW(İstatistik[2FG])),,1)),--(İstatistik[2FG]=CP9))</f>
        <v>0</v>
      </c>
      <c r="DC9" s="243">
        <f ca="1">DB9/SUBTOTAL(3,İstatistik[SG])</f>
        <v>0</v>
      </c>
      <c r="DD9" s="87">
        <v>5</v>
      </c>
      <c r="DE9" s="238">
        <f ca="1">SUMPRODUCT(SUBTOTAL(3,OFFSET(İstatistik[1Y],ROW(İstatistik[1Y])-MIN(ROW(İstatistik[1Y])),,1)),--(İstatistik[1Y]=CP9))</f>
        <v>0</v>
      </c>
      <c r="DF9" s="239">
        <f ca="1">DE9/SUBTOTAL(3,İstatistik[1Y])</f>
        <v>0</v>
      </c>
      <c r="DG9" s="240">
        <f ca="1">SUMPRODUCT(SUBTOTAL(3,OFFSET(İstatistik[0Y],ROW(İstatistik[0Y])-MIN(ROW(İstatistik[0Y])),,1)),--(İstatistik[0Y]=CP9))</f>
        <v>0</v>
      </c>
      <c r="DH9" s="241">
        <f ca="1">DG9/SUBTOTAL(3,İstatistik[0Y])</f>
        <v>0</v>
      </c>
      <c r="DI9" s="242">
        <f ca="1">SUMPRODUCT(SUBTOTAL(3,OFFSET(İstatistik[2Y],ROW(İstatistik[2Y])-MIN(ROW(İstatistik[2Y])),,1)),--(İstatistik[2Y]=CP9))</f>
        <v>0</v>
      </c>
      <c r="DJ9" s="243">
        <f ca="1">DI9/SUBTOTAL(3,İstatistik[2Y])</f>
        <v>0</v>
      </c>
      <c r="DQ9" s="256" t="s">
        <v>111</v>
      </c>
      <c r="DR9" s="257"/>
      <c r="DS9" s="258"/>
      <c r="DU9" s="158">
        <v>5</v>
      </c>
      <c r="DV9" s="148">
        <f>MIN(İstatistik[5])</f>
        <v>6</v>
      </c>
      <c r="DW9" s="149">
        <f>MAX(İstatistik[5])</f>
        <v>6</v>
      </c>
      <c r="DX9" s="148">
        <f>MIN(Dinamik[5])</f>
        <v>1</v>
      </c>
      <c r="DY9" s="149">
        <f>MAX(Dinamik[5])</f>
        <v>1</v>
      </c>
      <c r="EG9" s="152"/>
      <c r="EH9" s="152"/>
      <c r="EI9" s="152"/>
      <c r="EJ9" s="152"/>
      <c r="EK9" s="152"/>
      <c r="FF9" s="256"/>
      <c r="FG9" s="257"/>
      <c r="FH9" s="258"/>
      <c r="GL9" s="256"/>
      <c r="GM9" s="257"/>
      <c r="GN9" s="258"/>
      <c r="IA9" s="1">
        <v>2</v>
      </c>
      <c r="IB9" s="1">
        <f>MIN(İstatistik[2])</f>
        <v>2</v>
      </c>
    </row>
    <row r="10" spans="1:241" ht="11.1" customHeight="1" thickBot="1" x14ac:dyDescent="0.3">
      <c r="A10" s="259"/>
      <c r="B10" s="260"/>
      <c r="C10" s="261"/>
      <c r="R10" s="122">
        <f t="shared" si="13"/>
        <v>47</v>
      </c>
      <c r="S10" s="80">
        <f t="shared" si="14"/>
        <v>28</v>
      </c>
      <c r="T10" s="123">
        <f t="shared" si="15"/>
        <v>25</v>
      </c>
      <c r="V10" s="130">
        <f>COUNTIFS(Veri_Girişi[1O],"&gt;="&amp;R10-2,Veri_Girişi[1O],"&lt;="&amp;R10+2,Veri_Girişi[0O],"&gt;="&amp;S10-2,Veri_Girişi[0O],"&lt;="&amp;S10+2,Veri_Girişi[2O],"&gt;="&amp;T10-2,Veri_Girişi[2O],"&lt;="&amp;T10+2)</f>
        <v>0</v>
      </c>
      <c r="W10" s="78">
        <f>IFERROR(ROUND((COUNTIFS(Veri_Girişi[1O],"&gt;="&amp;R10-2,Veri_Girişi[1O],"&lt;="&amp;R10+2,Veri_Girişi[0O],"&gt;="&amp;S10-2,Veri_Girişi[0O],"&lt;="&amp;S10+2,Veri_Girişi[2O],"&gt;="&amp;T10-2,Veri_Girişi[2O],"&lt;="&amp;T10+2,Veri_Girişi[S],1))*100/V10,0),0)</f>
        <v>0</v>
      </c>
      <c r="X10" s="78">
        <f>IFERROR(ROUND((COUNTIFS(Veri_Girişi[1O],"&gt;="&amp;R10-2,Veri_Girişi[1O],"&lt;="&amp;R10+2,Veri_Girişi[0O],"&gt;="&amp;S10-2,Veri_Girişi[0O],"&lt;="&amp;S10+2,Veri_Girişi[2O],"&gt;="&amp;T10-2,Veri_Girişi[2O],"&lt;="&amp;T10+2,Veri_Girişi[S],0))*100/V10,0),0)</f>
        <v>0</v>
      </c>
      <c r="Y10" s="131">
        <f>IFERROR(ROUND((COUNTIFS(Veri_Girişi[1O],"&gt;="&amp;R10-2,Veri_Girişi[1O],"&lt;="&amp;R10+2,Veri_Girişi[0O],"&gt;="&amp;S10-2,Veri_Girişi[0O],"&lt;="&amp;S10+2,Veri_Girişi[2O],"&gt;="&amp;T10-2,Veri_Girişi[2O],"&lt;="&amp;T10+2,Veri_Girişi[S],2))*100/V10,0),0)</f>
        <v>0</v>
      </c>
      <c r="AA10" s="122">
        <f t="shared" si="16"/>
        <v>9</v>
      </c>
      <c r="AB10" s="80">
        <f t="shared" si="17"/>
        <v>21</v>
      </c>
      <c r="AC10" s="123">
        <f t="shared" si="18"/>
        <v>28</v>
      </c>
      <c r="AE10" s="130">
        <f>COUNTIFS(Veri_Girişi[1S],"&gt;="&amp;AA10-2,Veri_Girişi[1S],"&lt;="&amp;AA10+2,Veri_Girişi[0S],"&gt;="&amp;AB10-2,Veri_Girişi[0S],"&lt;="&amp;AB10+2,Veri_Girişi[2S],"&gt;="&amp;AC10-2,Veri_Girişi[2S],"&lt;="&amp;AC10+2)</f>
        <v>0</v>
      </c>
      <c r="AF10" s="78">
        <f>IFERROR(ROUND((COUNTIFS(Veri_Girişi[1S],"&gt;="&amp;AA10-2,Veri_Girişi[1S],"&lt;="&amp;AA10+2,Veri_Girişi[0S],"&gt;="&amp;AB10-2,Veri_Girişi[0S],"&lt;="&amp;AB10+2,Veri_Girişi[2S],"&gt;="&amp;AC10-2,Veri_Girişi[2S],"&lt;="&amp;AC10+2,Veri_Girişi[S],1))*100/AE10,0),0)</f>
        <v>0</v>
      </c>
      <c r="AG10" s="78">
        <f>IFERROR(ROUND((COUNTIFS(Veri_Girişi[1S],"&gt;="&amp;AA10-2,Veri_Girişi[1S],"&lt;="&amp;AA10+2,Veri_Girişi[0S],"&gt;="&amp;AB10-2,Veri_Girişi[0S],"&lt;="&amp;AB10+2,Veri_Girişi[2S],"&gt;="&amp;AC10-2,Veri_Girişi[2S],"&lt;="&amp;AC10+2,Veri_Girişi[S],0))*100/AE10,0),0)</f>
        <v>0</v>
      </c>
      <c r="AH10" s="131">
        <f>IFERROR(ROUND((COUNTIFS(Veri_Girişi[1S],"&gt;="&amp;AA10-2,Veri_Girişi[1S],"&lt;="&amp;AA10+2,Veri_Girişi[0S],"&gt;="&amp;AB10-2,Veri_Girişi[0S],"&lt;="&amp;AB10+2,Veri_Girişi[2S],"&gt;="&amp;AC10-2,Veri_Girişi[2S],"&lt;="&amp;AC10+2,Veri_Girişi[S],2))*100/AE10,0),0)</f>
        <v>0</v>
      </c>
      <c r="AJ10" s="122" t="str">
        <f t="shared" si="19"/>
        <v>F</v>
      </c>
      <c r="AK10" s="80" t="str">
        <f t="shared" si="20"/>
        <v>P</v>
      </c>
      <c r="AL10" s="123" t="str">
        <f t="shared" si="21"/>
        <v>S</v>
      </c>
      <c r="AP10" s="283"/>
      <c r="AQ10" s="284"/>
      <c r="AR10" s="285"/>
      <c r="AT10" s="106">
        <v>8</v>
      </c>
      <c r="AU10" s="4" t="s">
        <v>11</v>
      </c>
      <c r="AV10" s="5" t="s">
        <v>14</v>
      </c>
      <c r="AW10" s="6">
        <v>0</v>
      </c>
      <c r="AX10" s="7">
        <v>47</v>
      </c>
      <c r="AY10" s="8">
        <v>27</v>
      </c>
      <c r="AZ10" s="9">
        <v>26</v>
      </c>
      <c r="BA10" s="6">
        <f t="shared" si="1"/>
        <v>27</v>
      </c>
      <c r="BB10" s="7" t="str">
        <f t="shared" si="2"/>
        <v>F</v>
      </c>
      <c r="BC10" s="8" t="str">
        <f t="shared" si="3"/>
        <v>P</v>
      </c>
      <c r="BD10" s="9" t="str">
        <f t="shared" si="4"/>
        <v>S</v>
      </c>
      <c r="BE10" s="6" t="str">
        <f t="shared" si="5"/>
        <v>P</v>
      </c>
      <c r="BF10" s="7">
        <f t="shared" si="6"/>
        <v>9</v>
      </c>
      <c r="BG10" s="8">
        <f t="shared" si="7"/>
        <v>24</v>
      </c>
      <c r="BH10" s="9">
        <f t="shared" si="8"/>
        <v>26</v>
      </c>
      <c r="BI10" s="107">
        <f t="shared" si="9"/>
        <v>24</v>
      </c>
      <c r="CB10" s="267"/>
      <c r="CC10" s="268"/>
      <c r="CD10" s="269"/>
      <c r="CJ10" s="232">
        <f ca="1">SUMPRODUCT(SUBTOTAL(3,OFFSET(İstatistik[1G],ROW(İstatistik[1G])-MIN(ROW(İstatistik[1G])),,1)),--(İstatistik[1G]=CP10))</f>
        <v>0</v>
      </c>
      <c r="CK10" s="244">
        <f ca="1">CJ10/SUBTOTAL(3,İstatistik[1G])</f>
        <v>0</v>
      </c>
      <c r="CL10" s="234">
        <f ca="1">SUMPRODUCT(SUBTOTAL(3,OFFSET(İstatistik[0G],ROW(İstatistik[0G])-MIN(ROW(İstatistik[0G])),,1)),--(İstatistik[0G]=CP10))</f>
        <v>0</v>
      </c>
      <c r="CM10" s="235">
        <f ca="1">CL10/SUBTOTAL(3,İstatistik[0G])</f>
        <v>0</v>
      </c>
      <c r="CN10" s="236">
        <f ca="1">SUMPRODUCT(SUBTOTAL(3,OFFSET(İstatistik[2G],ROW(İstatistik[2G])-MIN(ROW(İstatistik[2G])),,1)),--(İstatistik[2G]=CP10))</f>
        <v>0</v>
      </c>
      <c r="CO10" s="237">
        <f ca="1">CN10/SUBTOTAL(3,İstatistik[2G])</f>
        <v>0</v>
      </c>
      <c r="CP10" s="87">
        <v>6</v>
      </c>
      <c r="CQ10" s="232">
        <f ca="1">SUMPRODUCT(SUBTOTAL(3,OFFSET(İstatistik[FG],ROW(İstatistik[FG])-MIN(ROW(İstatistik[FG])),,1)),--(İstatistik[FG]=CP10))</f>
        <v>0</v>
      </c>
      <c r="CR10" s="244">
        <f ca="1">CQ10/SUBTOTAL(3,İstatistik[FG])</f>
        <v>0</v>
      </c>
      <c r="CS10" s="234">
        <f ca="1">SUMPRODUCT(SUBTOTAL(3,OFFSET(İstatistik[PG],ROW(İstatistik[PG])-MIN(ROW(İstatistik[PG])),,1)),--(İstatistik[PG]=CP10))</f>
        <v>0</v>
      </c>
      <c r="CT10" s="235">
        <f ca="1">CS10/SUBTOTAL(3,İstatistik[PG])</f>
        <v>0</v>
      </c>
      <c r="CU10" s="236">
        <f ca="1">SUMPRODUCT(SUBTOTAL(3,OFFSET(İstatistik[SG],ROW(İstatistik[SG])-MIN(ROW(İstatistik[SG])),,1)),--(İstatistik[SG]=CP10))</f>
        <v>0</v>
      </c>
      <c r="CV10" s="237">
        <f ca="1">CU10/SUBTOTAL(3,İstatistik[SG])</f>
        <v>0</v>
      </c>
      <c r="CW10" s="87">
        <v>6</v>
      </c>
      <c r="CX10" s="232">
        <f ca="1">SUMPRODUCT(SUBTOTAL(3,OFFSET(İstatistik[1FG],ROW(İstatistik[1FG])-MIN(ROW(İstatistik[1FG])),,1)),--(İstatistik[1FG]=CP10))</f>
        <v>0</v>
      </c>
      <c r="CY10" s="244">
        <f ca="1">CX10/SUBTOTAL(3,İstatistik[FG])</f>
        <v>0</v>
      </c>
      <c r="CZ10" s="234">
        <f ca="1">SUMPRODUCT(SUBTOTAL(3,OFFSET(İstatistik[0FG],ROW(İstatistik[0FG])-MIN(ROW(İstatistik[0FG])),,1)),--(İstatistik[0FG]=CP10))</f>
        <v>0</v>
      </c>
      <c r="DA10" s="235">
        <f ca="1">CZ10/SUBTOTAL(3,İstatistik[PG])</f>
        <v>0</v>
      </c>
      <c r="DB10" s="236">
        <f ca="1">SUMPRODUCT(SUBTOTAL(3,OFFSET(İstatistik[2FG],ROW(İstatistik[2FG])-MIN(ROW(İstatistik[2FG])),,1)),--(İstatistik[2FG]=CP10))</f>
        <v>0</v>
      </c>
      <c r="DC10" s="237">
        <f ca="1">DB10/SUBTOTAL(3,İstatistik[SG])</f>
        <v>0</v>
      </c>
      <c r="DD10" s="87">
        <v>6</v>
      </c>
      <c r="DE10" s="232">
        <f ca="1">SUMPRODUCT(SUBTOTAL(3,OFFSET(İstatistik[1Y],ROW(İstatistik[1Y])-MIN(ROW(İstatistik[1Y])),,1)),--(İstatistik[1Y]=CP10))</f>
        <v>0</v>
      </c>
      <c r="DF10" s="244">
        <f ca="1">DE10/SUBTOTAL(3,İstatistik[1Y])</f>
        <v>0</v>
      </c>
      <c r="DG10" s="234">
        <f ca="1">SUMPRODUCT(SUBTOTAL(3,OFFSET(İstatistik[0Y],ROW(İstatistik[0Y])-MIN(ROW(İstatistik[0Y])),,1)),--(İstatistik[0Y]=CP10))</f>
        <v>0</v>
      </c>
      <c r="DH10" s="235">
        <f ca="1">DG10/SUBTOTAL(3,İstatistik[0Y])</f>
        <v>0</v>
      </c>
      <c r="DI10" s="236">
        <f ca="1">SUMPRODUCT(SUBTOTAL(3,OFFSET(İstatistik[2Y],ROW(İstatistik[2Y])-MIN(ROW(İstatistik[2Y])),,1)),--(İstatistik[2Y]=CP10))</f>
        <v>0</v>
      </c>
      <c r="DJ10" s="237">
        <f ca="1">DI10/SUBTOTAL(3,İstatistik[2Y])</f>
        <v>0</v>
      </c>
      <c r="DQ10" s="259"/>
      <c r="DR10" s="260"/>
      <c r="DS10" s="261"/>
      <c r="DU10" s="158">
        <v>6</v>
      </c>
      <c r="DV10" s="150">
        <f>MIN(İstatistik[6])</f>
        <v>9</v>
      </c>
      <c r="DW10" s="151">
        <f>MAX(İstatistik[6])</f>
        <v>9</v>
      </c>
      <c r="DX10" s="150">
        <f>MIN(Dinamik[6])</f>
        <v>1</v>
      </c>
      <c r="DY10" s="151">
        <f>MAX(Dinamik[6])</f>
        <v>1</v>
      </c>
      <c r="EG10" s="152"/>
      <c r="EH10" s="152"/>
      <c r="EI10" s="152"/>
      <c r="EJ10" s="152"/>
      <c r="EK10" s="152"/>
      <c r="FF10" s="259"/>
      <c r="FG10" s="260"/>
      <c r="FH10" s="261"/>
      <c r="GL10" s="259"/>
      <c r="GM10" s="260"/>
      <c r="GN10" s="261"/>
      <c r="IA10" s="1">
        <v>3</v>
      </c>
      <c r="IB10" s="1">
        <f>MIN(İstatistik[3])</f>
        <v>3</v>
      </c>
    </row>
    <row r="11" spans="1:241" ht="11.1" customHeight="1" thickBot="1" x14ac:dyDescent="0.3">
      <c r="H11" s="24" t="s">
        <v>8</v>
      </c>
      <c r="I11" s="25"/>
      <c r="J11" s="25"/>
      <c r="K11" s="26"/>
      <c r="L11" s="20"/>
      <c r="R11" s="122">
        <f t="shared" si="13"/>
        <v>32</v>
      </c>
      <c r="S11" s="80">
        <f t="shared" si="14"/>
        <v>28</v>
      </c>
      <c r="T11" s="123">
        <f t="shared" si="15"/>
        <v>40</v>
      </c>
      <c r="V11" s="130">
        <f>COUNTIFS(Veri_Girişi[1O],"&gt;="&amp;R11-2,Veri_Girişi[1O],"&lt;="&amp;R11+2,Veri_Girişi[0O],"&gt;="&amp;S11-2,Veri_Girişi[0O],"&lt;="&amp;S11+2,Veri_Girişi[2O],"&gt;="&amp;T11-2,Veri_Girişi[2O],"&lt;="&amp;T11+2)</f>
        <v>1</v>
      </c>
      <c r="W11" s="78">
        <f>IFERROR(ROUND((COUNTIFS(Veri_Girişi[1O],"&gt;="&amp;R11-2,Veri_Girişi[1O],"&lt;="&amp;R11+2,Veri_Girişi[0O],"&gt;="&amp;S11-2,Veri_Girişi[0O],"&lt;="&amp;S11+2,Veri_Girişi[2O],"&gt;="&amp;T11-2,Veri_Girişi[2O],"&lt;="&amp;T11+2,Veri_Girişi[S],1))*100/V11,0),0)</f>
        <v>0</v>
      </c>
      <c r="X11" s="78">
        <f>IFERROR(ROUND((COUNTIFS(Veri_Girişi[1O],"&gt;="&amp;R11-2,Veri_Girişi[1O],"&lt;="&amp;R11+2,Veri_Girişi[0O],"&gt;="&amp;S11-2,Veri_Girişi[0O],"&lt;="&amp;S11+2,Veri_Girişi[2O],"&gt;="&amp;T11-2,Veri_Girişi[2O],"&lt;="&amp;T11+2,Veri_Girişi[S],0))*100/V11,0),0)</f>
        <v>100</v>
      </c>
      <c r="Y11" s="131">
        <f>IFERROR(ROUND((COUNTIFS(Veri_Girişi[1O],"&gt;="&amp;R11-2,Veri_Girişi[1O],"&lt;="&amp;R11+2,Veri_Girişi[0O],"&gt;="&amp;S11-2,Veri_Girişi[0O],"&lt;="&amp;S11+2,Veri_Girişi[2O],"&gt;="&amp;T11-2,Veri_Girişi[2O],"&lt;="&amp;T11+2,Veri_Girişi[S],2))*100/V11,0),0)</f>
        <v>0</v>
      </c>
      <c r="AA11" s="122">
        <f t="shared" si="16"/>
        <v>17</v>
      </c>
      <c r="AB11" s="80">
        <f t="shared" si="17"/>
        <v>21</v>
      </c>
      <c r="AC11" s="123">
        <f t="shared" si="18"/>
        <v>14</v>
      </c>
      <c r="AE11" s="130">
        <f>COUNTIFS(Veri_Girişi[1S],"&gt;="&amp;AA11-2,Veri_Girişi[1S],"&lt;="&amp;AA11+2,Veri_Girişi[0S],"&gt;="&amp;AB11-2,Veri_Girişi[0S],"&lt;="&amp;AB11+2,Veri_Girişi[2S],"&gt;="&amp;AC11-2,Veri_Girişi[2S],"&lt;="&amp;AC11+2)</f>
        <v>1</v>
      </c>
      <c r="AF11" s="78">
        <f>IFERROR(ROUND((COUNTIFS(Veri_Girişi[1S],"&gt;="&amp;AA11-2,Veri_Girişi[1S],"&lt;="&amp;AA11+2,Veri_Girişi[0S],"&gt;="&amp;AB11-2,Veri_Girişi[0S],"&lt;="&amp;AB11+2,Veri_Girişi[2S],"&gt;="&amp;AC11-2,Veri_Girişi[2S],"&lt;="&amp;AC11+2,Veri_Girişi[S],1))*100/AE11,0),0)</f>
        <v>0</v>
      </c>
      <c r="AG11" s="78">
        <f>IFERROR(ROUND((COUNTIFS(Veri_Girişi[1S],"&gt;="&amp;AA11-2,Veri_Girişi[1S],"&lt;="&amp;AA11+2,Veri_Girişi[0S],"&gt;="&amp;AB11-2,Veri_Girişi[0S],"&lt;="&amp;AB11+2,Veri_Girişi[2S],"&gt;="&amp;AC11-2,Veri_Girişi[2S],"&lt;="&amp;AC11+2,Veri_Girişi[S],0))*100/AE11,0),0)</f>
        <v>100</v>
      </c>
      <c r="AH11" s="131">
        <f>IFERROR(ROUND((COUNTIFS(Veri_Girişi[1S],"&gt;="&amp;AA11-2,Veri_Girişi[1S],"&lt;="&amp;AA11+2,Veri_Girişi[0S],"&gt;="&amp;AB11-2,Veri_Girişi[0S],"&lt;="&amp;AB11+2,Veri_Girişi[2S],"&gt;="&amp;AC11-2,Veri_Girişi[2S],"&lt;="&amp;AC11+2,Veri_Girişi[S],2))*100/AE11,0),0)</f>
        <v>0</v>
      </c>
      <c r="AJ11" s="122" t="str">
        <f t="shared" si="19"/>
        <v>P</v>
      </c>
      <c r="AK11" s="80" t="str">
        <f t="shared" si="20"/>
        <v>S</v>
      </c>
      <c r="AL11" s="123" t="str">
        <f t="shared" si="21"/>
        <v>F</v>
      </c>
      <c r="AT11" s="106">
        <v>9</v>
      </c>
      <c r="AU11" s="4" t="s">
        <v>15</v>
      </c>
      <c r="AV11" s="5" t="s">
        <v>19</v>
      </c>
      <c r="AW11" s="6">
        <v>0</v>
      </c>
      <c r="AX11" s="7">
        <v>48</v>
      </c>
      <c r="AY11" s="8">
        <v>22</v>
      </c>
      <c r="AZ11" s="9">
        <v>30</v>
      </c>
      <c r="BA11" s="6">
        <f t="shared" si="1"/>
        <v>22</v>
      </c>
      <c r="BB11" s="7" t="str">
        <f t="shared" si="2"/>
        <v>F</v>
      </c>
      <c r="BC11" s="8" t="str">
        <f t="shared" si="3"/>
        <v>S</v>
      </c>
      <c r="BD11" s="9" t="str">
        <f t="shared" si="4"/>
        <v>P</v>
      </c>
      <c r="BE11" s="6" t="str">
        <f t="shared" si="5"/>
        <v>S</v>
      </c>
      <c r="BF11" s="7">
        <f t="shared" si="6"/>
        <v>8</v>
      </c>
      <c r="BG11" s="8">
        <f t="shared" si="7"/>
        <v>32</v>
      </c>
      <c r="BH11" s="9">
        <f t="shared" si="8"/>
        <v>19</v>
      </c>
      <c r="BI11" s="107">
        <f t="shared" si="9"/>
        <v>32</v>
      </c>
      <c r="CJ11" s="238">
        <f ca="1">SUMPRODUCT(SUBTOTAL(3,OFFSET(İstatistik[1G],ROW(İstatistik[1G])-MIN(ROW(İstatistik[1G])),,1)),--(İstatistik[1G]=CP11))</f>
        <v>0</v>
      </c>
      <c r="CK11" s="239">
        <f ca="1">CJ11/SUBTOTAL(3,İstatistik[1G])</f>
        <v>0</v>
      </c>
      <c r="CL11" s="240">
        <f ca="1">SUMPRODUCT(SUBTOTAL(3,OFFSET(İstatistik[0G],ROW(İstatistik[0G])-MIN(ROW(İstatistik[0G])),,1)),--(İstatistik[0G]=CP11))</f>
        <v>0</v>
      </c>
      <c r="CM11" s="241">
        <f ca="1">CL11/SUBTOTAL(3,İstatistik[0G])</f>
        <v>0</v>
      </c>
      <c r="CN11" s="242">
        <f ca="1">SUMPRODUCT(SUBTOTAL(3,OFFSET(İstatistik[2G],ROW(İstatistik[2G])-MIN(ROW(İstatistik[2G])),,1)),--(İstatistik[2G]=CP11))</f>
        <v>1</v>
      </c>
      <c r="CO11" s="243">
        <f ca="1">CN11/SUBTOTAL(3,İstatistik[2G])</f>
        <v>1</v>
      </c>
      <c r="CP11" s="87">
        <v>7</v>
      </c>
      <c r="CQ11" s="238">
        <f ca="1">SUMPRODUCT(SUBTOTAL(3,OFFSET(İstatistik[FG],ROW(İstatistik[FG])-MIN(ROW(İstatistik[FG])),,1)),--(İstatistik[FG]=CP11))</f>
        <v>0</v>
      </c>
      <c r="CR11" s="239">
        <f ca="1">CQ11/SUBTOTAL(3,İstatistik[FG])</f>
        <v>0</v>
      </c>
      <c r="CS11" s="240">
        <f ca="1">SUMPRODUCT(SUBTOTAL(3,OFFSET(İstatistik[PG],ROW(İstatistik[PG])-MIN(ROW(İstatistik[PG])),,1)),--(İstatistik[PG]=CP11))</f>
        <v>0</v>
      </c>
      <c r="CT11" s="241">
        <f ca="1">CS11/SUBTOTAL(3,İstatistik[PG])</f>
        <v>0</v>
      </c>
      <c r="CU11" s="242">
        <f ca="1">SUMPRODUCT(SUBTOTAL(3,OFFSET(İstatistik[SG],ROW(İstatistik[SG])-MIN(ROW(İstatistik[SG])),,1)),--(İstatistik[SG]=CP11))</f>
        <v>0</v>
      </c>
      <c r="CV11" s="243">
        <f ca="1">CU11/SUBTOTAL(3,İstatistik[SG])</f>
        <v>0</v>
      </c>
      <c r="CW11" s="87">
        <v>7</v>
      </c>
      <c r="CX11" s="238">
        <f ca="1">SUMPRODUCT(SUBTOTAL(3,OFFSET(İstatistik[1FG],ROW(İstatistik[1FG])-MIN(ROW(İstatistik[1FG])),,1)),--(İstatistik[1FG]=CP11))</f>
        <v>0</v>
      </c>
      <c r="CY11" s="239">
        <f ca="1">CX11/SUBTOTAL(3,İstatistik[FG])</f>
        <v>0</v>
      </c>
      <c r="CZ11" s="240">
        <f ca="1">SUMPRODUCT(SUBTOTAL(3,OFFSET(İstatistik[0FG],ROW(İstatistik[0FG])-MIN(ROW(İstatistik[0FG])),,1)),--(İstatistik[0FG]=CP11))</f>
        <v>0</v>
      </c>
      <c r="DA11" s="241">
        <f ca="1">CZ11/SUBTOTAL(3,İstatistik[PG])</f>
        <v>0</v>
      </c>
      <c r="DB11" s="242">
        <f ca="1">SUMPRODUCT(SUBTOTAL(3,OFFSET(İstatistik[2FG],ROW(İstatistik[2FG])-MIN(ROW(İstatistik[2FG])),,1)),--(İstatistik[2FG]=CP11))</f>
        <v>0</v>
      </c>
      <c r="DC11" s="243">
        <f ca="1">DB11/SUBTOTAL(3,İstatistik[SG])</f>
        <v>0</v>
      </c>
      <c r="DD11" s="87">
        <v>7</v>
      </c>
      <c r="DE11" s="238">
        <f ca="1">SUMPRODUCT(SUBTOTAL(3,OFFSET(İstatistik[1Y],ROW(İstatistik[1Y])-MIN(ROW(İstatistik[1Y])),,1)),--(İstatistik[1Y]=CP11))</f>
        <v>0</v>
      </c>
      <c r="DF11" s="239">
        <f ca="1">DE11/SUBTOTAL(3,İstatistik[1Y])</f>
        <v>0</v>
      </c>
      <c r="DG11" s="240">
        <f ca="1">SUMPRODUCT(SUBTOTAL(3,OFFSET(İstatistik[0Y],ROW(İstatistik[0Y])-MIN(ROW(İstatistik[0Y])),,1)),--(İstatistik[0Y]=CP11))</f>
        <v>0</v>
      </c>
      <c r="DH11" s="241">
        <f ca="1">DG11/SUBTOTAL(3,İstatistik[0Y])</f>
        <v>0</v>
      </c>
      <c r="DI11" s="242">
        <f ca="1">SUMPRODUCT(SUBTOTAL(3,OFFSET(İstatistik[2Y],ROW(İstatistik[2Y])-MIN(ROW(İstatistik[2Y])),,1)),--(İstatistik[2Y]=CP11))</f>
        <v>0</v>
      </c>
      <c r="DJ11" s="243">
        <f ca="1">DI11/SUBTOTAL(3,İstatistik[2Y])</f>
        <v>0</v>
      </c>
      <c r="DU11" s="158">
        <v>7</v>
      </c>
      <c r="DV11" s="148">
        <f>MIN(İstatistik[7])</f>
        <v>11</v>
      </c>
      <c r="DW11" s="149">
        <f>MAX(İstatistik[7])</f>
        <v>11</v>
      </c>
      <c r="DX11" s="148">
        <f>MIN(Dinamik[7])</f>
        <v>1</v>
      </c>
      <c r="DY11" s="149">
        <f>MAX(Dinamik[7])</f>
        <v>1</v>
      </c>
      <c r="EG11" s="152"/>
      <c r="EH11" s="152"/>
      <c r="EI11" s="152"/>
      <c r="EJ11" s="152"/>
      <c r="EK11" s="152"/>
      <c r="IA11" s="1">
        <v>4</v>
      </c>
      <c r="IB11" s="1">
        <f>MIN(İstatistik[4])</f>
        <v>5</v>
      </c>
    </row>
    <row r="12" spans="1:241" ht="11.1" customHeight="1" thickBot="1" x14ac:dyDescent="0.3">
      <c r="A12" s="256" t="s">
        <v>112</v>
      </c>
      <c r="B12" s="257"/>
      <c r="C12" s="258"/>
      <c r="F12" s="27" t="s">
        <v>6</v>
      </c>
      <c r="G12" s="28">
        <v>1</v>
      </c>
      <c r="H12" s="22">
        <v>0</v>
      </c>
      <c r="I12" s="22">
        <v>2</v>
      </c>
      <c r="J12" s="67"/>
      <c r="K12" s="67" t="s">
        <v>6</v>
      </c>
      <c r="L12" s="22">
        <v>1</v>
      </c>
      <c r="M12" s="28">
        <v>0</v>
      </c>
      <c r="N12" s="29">
        <v>2</v>
      </c>
      <c r="R12" s="122">
        <f t="shared" si="13"/>
        <v>47</v>
      </c>
      <c r="S12" s="80">
        <f t="shared" si="14"/>
        <v>27</v>
      </c>
      <c r="T12" s="123">
        <f t="shared" si="15"/>
        <v>26</v>
      </c>
      <c r="V12" s="130">
        <f>COUNTIFS(Veri_Girişi[1O],"&gt;="&amp;R12-2,Veri_Girişi[1O],"&lt;="&amp;R12+2,Veri_Girişi[0O],"&gt;="&amp;S12-2,Veri_Girişi[0O],"&lt;="&amp;S12+2,Veri_Girişi[2O],"&gt;="&amp;T12-2,Veri_Girişi[2O],"&lt;="&amp;T12+2)</f>
        <v>0</v>
      </c>
      <c r="W12" s="78">
        <f>IFERROR(ROUND((COUNTIFS(Veri_Girişi[1O],"&gt;="&amp;R12-2,Veri_Girişi[1O],"&lt;="&amp;R12+2,Veri_Girişi[0O],"&gt;="&amp;S12-2,Veri_Girişi[0O],"&lt;="&amp;S12+2,Veri_Girişi[2O],"&gt;="&amp;T12-2,Veri_Girişi[2O],"&lt;="&amp;T12+2,Veri_Girişi[S],1))*100/V12,0),0)</f>
        <v>0</v>
      </c>
      <c r="X12" s="78">
        <f>IFERROR(ROUND((COUNTIFS(Veri_Girişi[1O],"&gt;="&amp;R12-2,Veri_Girişi[1O],"&lt;="&amp;R12+2,Veri_Girişi[0O],"&gt;="&amp;S12-2,Veri_Girişi[0O],"&lt;="&amp;S12+2,Veri_Girişi[2O],"&gt;="&amp;T12-2,Veri_Girişi[2O],"&lt;="&amp;T12+2,Veri_Girişi[S],0))*100/V12,0),0)</f>
        <v>0</v>
      </c>
      <c r="Y12" s="131">
        <f>IFERROR(ROUND((COUNTIFS(Veri_Girişi[1O],"&gt;="&amp;R12-2,Veri_Girişi[1O],"&lt;="&amp;R12+2,Veri_Girişi[0O],"&gt;="&amp;S12-2,Veri_Girişi[0O],"&lt;="&amp;S12+2,Veri_Girişi[2O],"&gt;="&amp;T12-2,Veri_Girişi[2O],"&lt;="&amp;T12+2,Veri_Girişi[S],2))*100/V12,0),0)</f>
        <v>0</v>
      </c>
      <c r="AA12" s="122">
        <f t="shared" si="16"/>
        <v>9</v>
      </c>
      <c r="AB12" s="80">
        <f t="shared" si="17"/>
        <v>24</v>
      </c>
      <c r="AC12" s="123">
        <f t="shared" si="18"/>
        <v>26</v>
      </c>
      <c r="AE12" s="130">
        <f>COUNTIFS(Veri_Girişi[1S],"&gt;="&amp;AA12-2,Veri_Girişi[1S],"&lt;="&amp;AA12+2,Veri_Girişi[0S],"&gt;="&amp;AB12-2,Veri_Girişi[0S],"&lt;="&amp;AB12+2,Veri_Girişi[2S],"&gt;="&amp;AC12-2,Veri_Girişi[2S],"&lt;="&amp;AC12+2)</f>
        <v>0</v>
      </c>
      <c r="AF12" s="78">
        <f>IFERROR(ROUND((COUNTIFS(Veri_Girişi[1S],"&gt;="&amp;AA12-2,Veri_Girişi[1S],"&lt;="&amp;AA12+2,Veri_Girişi[0S],"&gt;="&amp;AB12-2,Veri_Girişi[0S],"&lt;="&amp;AB12+2,Veri_Girişi[2S],"&gt;="&amp;AC12-2,Veri_Girişi[2S],"&lt;="&amp;AC12+2,Veri_Girişi[S],1))*100/AE12,0),0)</f>
        <v>0</v>
      </c>
      <c r="AG12" s="78">
        <f>IFERROR(ROUND((COUNTIFS(Veri_Girişi[1S],"&gt;="&amp;AA12-2,Veri_Girişi[1S],"&lt;="&amp;AA12+2,Veri_Girişi[0S],"&gt;="&amp;AB12-2,Veri_Girişi[0S],"&lt;="&amp;AB12+2,Veri_Girişi[2S],"&gt;="&amp;AC12-2,Veri_Girişi[2S],"&lt;="&amp;AC12+2,Veri_Girişi[S],0))*100/AE12,0),0)</f>
        <v>0</v>
      </c>
      <c r="AH12" s="131">
        <f>IFERROR(ROUND((COUNTIFS(Veri_Girişi[1S],"&gt;="&amp;AA12-2,Veri_Girişi[1S],"&lt;="&amp;AA12+2,Veri_Girişi[0S],"&gt;="&amp;AB12-2,Veri_Girişi[0S],"&lt;="&amp;AB12+2,Veri_Girişi[2S],"&gt;="&amp;AC12-2,Veri_Girişi[2S],"&lt;="&amp;AC12+2,Veri_Girişi[S],2))*100/AE12,0),0)</f>
        <v>0</v>
      </c>
      <c r="AJ12" s="122" t="str">
        <f t="shared" si="19"/>
        <v>F</v>
      </c>
      <c r="AK12" s="80" t="str">
        <f t="shared" si="20"/>
        <v>P</v>
      </c>
      <c r="AL12" s="123" t="str">
        <f t="shared" si="21"/>
        <v>S</v>
      </c>
      <c r="AP12" s="256" t="s">
        <v>112</v>
      </c>
      <c r="AQ12" s="257"/>
      <c r="AR12" s="258"/>
      <c r="AT12" s="106">
        <v>10</v>
      </c>
      <c r="AU12" s="4" t="s">
        <v>16</v>
      </c>
      <c r="AV12" s="5" t="s">
        <v>10</v>
      </c>
      <c r="AW12" s="6">
        <v>2</v>
      </c>
      <c r="AX12" s="7">
        <v>47</v>
      </c>
      <c r="AY12" s="8">
        <v>25</v>
      </c>
      <c r="AZ12" s="9">
        <v>28</v>
      </c>
      <c r="BA12" s="6">
        <f t="shared" si="1"/>
        <v>28</v>
      </c>
      <c r="BB12" s="7" t="str">
        <f t="shared" si="2"/>
        <v>F</v>
      </c>
      <c r="BC12" s="8" t="str">
        <f t="shared" si="3"/>
        <v>S</v>
      </c>
      <c r="BD12" s="9" t="str">
        <f t="shared" si="4"/>
        <v>P</v>
      </c>
      <c r="BE12" s="6" t="str">
        <f t="shared" si="5"/>
        <v>P</v>
      </c>
      <c r="BF12" s="7">
        <f t="shared" si="6"/>
        <v>9</v>
      </c>
      <c r="BG12" s="8">
        <f t="shared" si="7"/>
        <v>28</v>
      </c>
      <c r="BH12" s="9">
        <f t="shared" si="8"/>
        <v>21</v>
      </c>
      <c r="BI12" s="107">
        <f t="shared" si="9"/>
        <v>21</v>
      </c>
      <c r="CB12" s="256" t="s">
        <v>112</v>
      </c>
      <c r="CC12" s="257"/>
      <c r="CD12" s="258"/>
      <c r="CJ12" s="232">
        <f ca="1">SUMPRODUCT(SUBTOTAL(3,OFFSET(İstatistik[1G],ROW(İstatistik[1G])-MIN(ROW(İstatistik[1G])),,1)),--(İstatistik[1G]=CP12))</f>
        <v>0</v>
      </c>
      <c r="CK12" s="244">
        <f ca="1">CJ12/SUBTOTAL(3,İstatistik[1G])</f>
        <v>0</v>
      </c>
      <c r="CL12" s="234">
        <f ca="1">SUMPRODUCT(SUBTOTAL(3,OFFSET(İstatistik[0G],ROW(İstatistik[0G])-MIN(ROW(İstatistik[0G])),,1)),--(İstatistik[0G]=CP12))</f>
        <v>0</v>
      </c>
      <c r="CM12" s="235">
        <f ca="1">CL12/SUBTOTAL(3,İstatistik[0G])</f>
        <v>0</v>
      </c>
      <c r="CN12" s="236">
        <f ca="1">SUMPRODUCT(SUBTOTAL(3,OFFSET(İstatistik[2G],ROW(İstatistik[2G])-MIN(ROW(İstatistik[2G])),,1)),--(İstatistik[2G]=CP12))</f>
        <v>0</v>
      </c>
      <c r="CO12" s="237">
        <f ca="1">CN12/SUBTOTAL(3,İstatistik[2G])</f>
        <v>0</v>
      </c>
      <c r="CP12" s="87">
        <v>8</v>
      </c>
      <c r="CQ12" s="232">
        <f ca="1">SUMPRODUCT(SUBTOTAL(3,OFFSET(İstatistik[FG],ROW(İstatistik[FG])-MIN(ROW(İstatistik[FG])),,1)),--(İstatistik[FG]=CP12))</f>
        <v>0</v>
      </c>
      <c r="CR12" s="244">
        <f ca="1">CQ12/SUBTOTAL(3,İstatistik[FG])</f>
        <v>0</v>
      </c>
      <c r="CS12" s="234">
        <f ca="1">SUMPRODUCT(SUBTOTAL(3,OFFSET(İstatistik[PG],ROW(İstatistik[PG])-MIN(ROW(İstatistik[PG])),,1)),--(İstatistik[PG]=CP12))</f>
        <v>0</v>
      </c>
      <c r="CT12" s="235">
        <f ca="1">CS12/SUBTOTAL(3,İstatistik[PG])</f>
        <v>0</v>
      </c>
      <c r="CU12" s="236">
        <f ca="1">SUMPRODUCT(SUBTOTAL(3,OFFSET(İstatistik[SG],ROW(İstatistik[SG])-MIN(ROW(İstatistik[SG])),,1)),--(İstatistik[SG]=CP12))</f>
        <v>0</v>
      </c>
      <c r="CV12" s="237">
        <f ca="1">CU12/SUBTOTAL(3,İstatistik[SG])</f>
        <v>0</v>
      </c>
      <c r="CW12" s="87">
        <v>8</v>
      </c>
      <c r="CX12" s="232">
        <f ca="1">SUMPRODUCT(SUBTOTAL(3,OFFSET(İstatistik[1FG],ROW(İstatistik[1FG])-MIN(ROW(İstatistik[1FG])),,1)),--(İstatistik[1FG]=CP12))</f>
        <v>0</v>
      </c>
      <c r="CY12" s="244">
        <f ca="1">CX12/SUBTOTAL(3,İstatistik[FG])</f>
        <v>0</v>
      </c>
      <c r="CZ12" s="234">
        <f ca="1">SUMPRODUCT(SUBTOTAL(3,OFFSET(İstatistik[0FG],ROW(İstatistik[0FG])-MIN(ROW(İstatistik[0FG])),,1)),--(İstatistik[0FG]=CP12))</f>
        <v>0</v>
      </c>
      <c r="DA12" s="235">
        <f ca="1">CZ12/SUBTOTAL(3,İstatistik[PG])</f>
        <v>0</v>
      </c>
      <c r="DB12" s="236">
        <f ca="1">SUMPRODUCT(SUBTOTAL(3,OFFSET(İstatistik[2FG],ROW(İstatistik[2FG])-MIN(ROW(İstatistik[2FG])),,1)),--(İstatistik[2FG]=CP12))</f>
        <v>0</v>
      </c>
      <c r="DC12" s="237">
        <f ca="1">DB12/SUBTOTAL(3,İstatistik[SG])</f>
        <v>0</v>
      </c>
      <c r="DD12" s="87">
        <v>8</v>
      </c>
      <c r="DE12" s="232">
        <f ca="1">SUMPRODUCT(SUBTOTAL(3,OFFSET(İstatistik[1Y],ROW(İstatistik[1Y])-MIN(ROW(İstatistik[1Y])),,1)),--(İstatistik[1Y]=CP12))</f>
        <v>0</v>
      </c>
      <c r="DF12" s="244">
        <f ca="1">DE12/SUBTOTAL(3,İstatistik[1Y])</f>
        <v>0</v>
      </c>
      <c r="DG12" s="234">
        <f ca="1">SUMPRODUCT(SUBTOTAL(3,OFFSET(İstatistik[0Y],ROW(İstatistik[0Y])-MIN(ROW(İstatistik[0Y])),,1)),--(İstatistik[0Y]=CP12))</f>
        <v>0</v>
      </c>
      <c r="DH12" s="235">
        <f ca="1">DG12/SUBTOTAL(3,İstatistik[0Y])</f>
        <v>0</v>
      </c>
      <c r="DI12" s="236">
        <f ca="1">SUMPRODUCT(SUBTOTAL(3,OFFSET(İstatistik[2Y],ROW(İstatistik[2Y])-MIN(ROW(İstatistik[2Y])),,1)),--(İstatistik[2Y]=CP12))</f>
        <v>0</v>
      </c>
      <c r="DJ12" s="237">
        <f ca="1">DI12/SUBTOTAL(3,İstatistik[2Y])</f>
        <v>0</v>
      </c>
      <c r="DQ12" s="264" t="s">
        <v>112</v>
      </c>
      <c r="DR12" s="265"/>
      <c r="DS12" s="266"/>
      <c r="DU12" s="158">
        <v>8</v>
      </c>
      <c r="DV12" s="150">
        <f>MIN(İstatistik[8])</f>
        <v>13</v>
      </c>
      <c r="DW12" s="151">
        <f>MAX(İstatistik[8])</f>
        <v>13</v>
      </c>
      <c r="DX12" s="150">
        <f>MIN(Dinamik[8])</f>
        <v>2</v>
      </c>
      <c r="DY12" s="151">
        <f>MAX(Dinamik[8])</f>
        <v>2</v>
      </c>
      <c r="EG12" s="152"/>
      <c r="EH12" s="152"/>
      <c r="EI12" s="152"/>
      <c r="EJ12" s="152"/>
      <c r="EK12" s="152"/>
      <c r="FF12" s="256"/>
      <c r="FG12" s="257"/>
      <c r="FH12" s="258"/>
      <c r="GL12" s="264"/>
      <c r="GM12" s="265"/>
      <c r="GN12" s="266"/>
      <c r="IA12" s="1">
        <v>5</v>
      </c>
      <c r="IB12" s="1">
        <f>MIN(İstatistik[5])</f>
        <v>6</v>
      </c>
    </row>
    <row r="13" spans="1:241" ht="11.1" customHeight="1" thickBot="1" x14ac:dyDescent="0.3">
      <c r="A13" s="259"/>
      <c r="B13" s="260"/>
      <c r="C13" s="261"/>
      <c r="F13" s="13">
        <f>COUNTIFS(Veri_Girişi[Ev Sahibi],E3,Veri_Girişi[1FPS],VLOOKUP(J4,AT3:BD17,9,FALSE),Veri_Girişi[0FPS],VLOOKUP(J4,AT3:BD17,10,FALSE),Veri_Girişi[2FPS],VLOOKUP(J4,AT3:BD17,11,FALSE))</f>
        <v>0</v>
      </c>
      <c r="G13" s="11">
        <f>COUNTIFS(Veri_Girişi[Ev Sahibi],E3,Veri_Girişi[1FPS],VLOOKUP(J4,AT3:BD17,9,FALSE),Veri_Girişi[0FPS],VLOOKUP(J4,AT3:BD17,10,FALSE),Veri_Girişi[2FPS],VLOOKUP(J4,AT3:BD17,11,FALSE),Veri_Girişi[S],1)</f>
        <v>0</v>
      </c>
      <c r="H13" s="11">
        <f>COUNTIFS(Veri_Girişi[Ev Sahibi],E3,Veri_Girişi[1FPS],VLOOKUP(J4,AT3:BD17,9,FALSE),Veri_Girişi[0FPS],VLOOKUP(J4,AT3:BD17,10,FALSE),Veri_Girişi[2FPS],VLOOKUP(J4,AT3:BD17,11,FALSE),Veri_Girişi[S],0)</f>
        <v>0</v>
      </c>
      <c r="I13" s="12">
        <f>COUNTIFS(Veri_Girişi[Ev Sahibi],E3,Veri_Girişi[1FPS],VLOOKUP(J4,AT3:BD17,9,FALSE),Veri_Girişi[0FPS],VLOOKUP(J4,AT3:BD17,10,FALSE),Veri_Girişi[2FPS],VLOOKUP(J4,AT3:BD17,11,FALSE),Veri_Girişi[S],2)</f>
        <v>0</v>
      </c>
      <c r="K13" s="13">
        <f>COUNTIFS(Veri_Girişi[Deplasman],K3,Veri_Girişi[1FPS],VLOOKUP(J4,AT3:BD17,9,FALSE),Veri_Girişi[0FPS],VLOOKUP(J4,AT3:BD17,10,FALSE),Veri_Girişi[2FPS],VLOOKUP(J4,AT3:BD17,11,FALSE))</f>
        <v>0</v>
      </c>
      <c r="L13" s="11">
        <f>COUNTIFS(Veri_Girişi[Deplasman],K3,Veri_Girişi[1FPS],VLOOKUP(J4,AT3:BD17,9,FALSE),Veri_Girişi[0FPS],VLOOKUP(J4,AT3:BD17,10,FALSE),Veri_Girişi[2FPS],VLOOKUP(J4,AT3:BD17,11,FALSE),Veri_Girişi[S],1)</f>
        <v>0</v>
      </c>
      <c r="M13" s="11">
        <f>COUNTIFS(Veri_Girişi[Deplasman],K3,Veri_Girişi[1FPS],VLOOKUP(J4,AT3:BD17,9,FALSE),Veri_Girişi[0FPS],VLOOKUP(J4,AT3:BD17,10,FALSE),Veri_Girişi[2FPS],VLOOKUP(J4,AT3:BD17,11,FALSE),Veri_Girişi[S],0)</f>
        <v>0</v>
      </c>
      <c r="N13" s="12">
        <f>COUNTIFS(Veri_Girişi[Deplasman],K3,Veri_Girişi[1FPS],VLOOKUP(J4,AT3:BD17,9,FALSE),Veri_Girişi[0FPS],VLOOKUP(J4,AT3:BD17,10,FALSE),Veri_Girişi[2FPS],VLOOKUP(J4,AT3:BD17,11,FALSE),Veri_Girişi[S],2)</f>
        <v>0</v>
      </c>
      <c r="R13" s="122">
        <f t="shared" si="13"/>
        <v>48</v>
      </c>
      <c r="S13" s="80">
        <f t="shared" si="14"/>
        <v>22</v>
      </c>
      <c r="T13" s="123">
        <f t="shared" si="15"/>
        <v>30</v>
      </c>
      <c r="V13" s="130">
        <f>COUNTIFS(Veri_Girişi[1O],"&gt;="&amp;R13-2,Veri_Girişi[1O],"&lt;="&amp;R13+2,Veri_Girişi[0O],"&gt;="&amp;S13-2,Veri_Girişi[0O],"&lt;="&amp;S13+2,Veri_Girişi[2O],"&gt;="&amp;T13-2,Veri_Girişi[2O],"&lt;="&amp;T13+2)</f>
        <v>0</v>
      </c>
      <c r="W13" s="78">
        <f>IFERROR(ROUND((COUNTIFS(Veri_Girişi[1O],"&gt;="&amp;R13-2,Veri_Girişi[1O],"&lt;="&amp;R13+2,Veri_Girişi[0O],"&gt;="&amp;S13-2,Veri_Girişi[0O],"&lt;="&amp;S13+2,Veri_Girişi[2O],"&gt;="&amp;T13-2,Veri_Girişi[2O],"&lt;="&amp;T13+2,Veri_Girişi[S],1))*100/V13,0),0)</f>
        <v>0</v>
      </c>
      <c r="X13" s="78">
        <f>IFERROR(ROUND((COUNTIFS(Veri_Girişi[1O],"&gt;="&amp;R13-2,Veri_Girişi[1O],"&lt;="&amp;R13+2,Veri_Girişi[0O],"&gt;="&amp;S13-2,Veri_Girişi[0O],"&lt;="&amp;S13+2,Veri_Girişi[2O],"&gt;="&amp;T13-2,Veri_Girişi[2O],"&lt;="&amp;T13+2,Veri_Girişi[S],0))*100/V13,0),0)</f>
        <v>0</v>
      </c>
      <c r="Y13" s="131">
        <f>IFERROR(ROUND((COUNTIFS(Veri_Girişi[1O],"&gt;="&amp;R13-2,Veri_Girişi[1O],"&lt;="&amp;R13+2,Veri_Girişi[0O],"&gt;="&amp;S13-2,Veri_Girişi[0O],"&lt;="&amp;S13+2,Veri_Girişi[2O],"&gt;="&amp;T13-2,Veri_Girişi[2O],"&lt;="&amp;T13+2,Veri_Girişi[S],2))*100/V13,0),0)</f>
        <v>0</v>
      </c>
      <c r="AA13" s="122">
        <f t="shared" si="16"/>
        <v>8</v>
      </c>
      <c r="AB13" s="80">
        <f t="shared" si="17"/>
        <v>32</v>
      </c>
      <c r="AC13" s="123">
        <f t="shared" si="18"/>
        <v>19</v>
      </c>
      <c r="AE13" s="130">
        <f>COUNTIFS(Veri_Girişi[1S],"&gt;="&amp;AA13-2,Veri_Girişi[1S],"&lt;="&amp;AA13+2,Veri_Girişi[0S],"&gt;="&amp;AB13-2,Veri_Girişi[0S],"&lt;="&amp;AB13+2,Veri_Girişi[2S],"&gt;="&amp;AC13-2,Veri_Girişi[2S],"&lt;="&amp;AC13+2)</f>
        <v>0</v>
      </c>
      <c r="AF13" s="78">
        <f>IFERROR(ROUND((COUNTIFS(Veri_Girişi[1S],"&gt;="&amp;AA13-2,Veri_Girişi[1S],"&lt;="&amp;AA13+2,Veri_Girişi[0S],"&gt;="&amp;AB13-2,Veri_Girişi[0S],"&lt;="&amp;AB13+2,Veri_Girişi[2S],"&gt;="&amp;AC13-2,Veri_Girişi[2S],"&lt;="&amp;AC13+2,Veri_Girişi[S],1))*100/AE13,0),0)</f>
        <v>0</v>
      </c>
      <c r="AG13" s="78">
        <f>IFERROR(ROUND((COUNTIFS(Veri_Girişi[1S],"&gt;="&amp;AA13-2,Veri_Girişi[1S],"&lt;="&amp;AA13+2,Veri_Girişi[0S],"&gt;="&amp;AB13-2,Veri_Girişi[0S],"&lt;="&amp;AB13+2,Veri_Girişi[2S],"&gt;="&amp;AC13-2,Veri_Girişi[2S],"&lt;="&amp;AC13+2,Veri_Girişi[S],0))*100/AE13,0),0)</f>
        <v>0</v>
      </c>
      <c r="AH13" s="131">
        <f>IFERROR(ROUND((COUNTIFS(Veri_Girişi[1S],"&gt;="&amp;AA13-2,Veri_Girişi[1S],"&lt;="&amp;AA13+2,Veri_Girişi[0S],"&gt;="&amp;AB13-2,Veri_Girişi[0S],"&lt;="&amp;AB13+2,Veri_Girişi[2S],"&gt;="&amp;AC13-2,Veri_Girişi[2S],"&lt;="&amp;AC13+2,Veri_Girişi[S],2))*100/AE13,0),0)</f>
        <v>0</v>
      </c>
      <c r="AJ13" s="122" t="str">
        <f t="shared" si="19"/>
        <v>F</v>
      </c>
      <c r="AK13" s="80" t="str">
        <f t="shared" si="20"/>
        <v>S</v>
      </c>
      <c r="AL13" s="123" t="str">
        <f t="shared" si="21"/>
        <v>P</v>
      </c>
      <c r="AP13" s="259"/>
      <c r="AQ13" s="260"/>
      <c r="AR13" s="261"/>
      <c r="AT13" s="106">
        <v>11</v>
      </c>
      <c r="AU13" s="4" t="s">
        <v>27</v>
      </c>
      <c r="AV13" s="5" t="s">
        <v>52</v>
      </c>
      <c r="AW13" s="6">
        <v>0</v>
      </c>
      <c r="AX13" s="7">
        <v>71</v>
      </c>
      <c r="AY13" s="8">
        <v>13</v>
      </c>
      <c r="AZ13" s="9">
        <v>16</v>
      </c>
      <c r="BA13" s="6">
        <f t="shared" si="1"/>
        <v>13</v>
      </c>
      <c r="BB13" s="7" t="str">
        <f t="shared" si="2"/>
        <v>F</v>
      </c>
      <c r="BC13" s="8" t="str">
        <f t="shared" si="3"/>
        <v>S</v>
      </c>
      <c r="BD13" s="9" t="str">
        <f t="shared" si="4"/>
        <v>P</v>
      </c>
      <c r="BE13" s="6" t="str">
        <f t="shared" si="5"/>
        <v>S</v>
      </c>
      <c r="BF13" s="7">
        <f t="shared" si="6"/>
        <v>2</v>
      </c>
      <c r="BG13" s="8">
        <f t="shared" si="7"/>
        <v>43</v>
      </c>
      <c r="BH13" s="9">
        <f t="shared" si="8"/>
        <v>41</v>
      </c>
      <c r="BI13" s="107">
        <f t="shared" si="9"/>
        <v>43</v>
      </c>
      <c r="CB13" s="259"/>
      <c r="CC13" s="260"/>
      <c r="CD13" s="261"/>
      <c r="CJ13" s="238">
        <f ca="1">SUMPRODUCT(SUBTOTAL(3,OFFSET(İstatistik[1G],ROW(İstatistik[1G])-MIN(ROW(İstatistik[1G])),,1)),--(İstatistik[1G]=CP13))</f>
        <v>0</v>
      </c>
      <c r="CK13" s="239">
        <f ca="1">CJ13/SUBTOTAL(3,İstatistik[1G])</f>
        <v>0</v>
      </c>
      <c r="CL13" s="240">
        <f ca="1">SUMPRODUCT(SUBTOTAL(3,OFFSET(İstatistik[0G],ROW(İstatistik[0G])-MIN(ROW(İstatistik[0G])),,1)),--(İstatistik[0G]=CP13))</f>
        <v>0</v>
      </c>
      <c r="CM13" s="241">
        <f ca="1">CL13/SUBTOTAL(3,İstatistik[0G])</f>
        <v>0</v>
      </c>
      <c r="CN13" s="242">
        <f ca="1">SUMPRODUCT(SUBTOTAL(3,OFFSET(İstatistik[2G],ROW(İstatistik[2G])-MIN(ROW(İstatistik[2G])),,1)),--(İstatistik[2G]=CP13))</f>
        <v>0</v>
      </c>
      <c r="CO13" s="243">
        <f ca="1">CN13/SUBTOTAL(3,İstatistik[2G])</f>
        <v>0</v>
      </c>
      <c r="CP13" s="87">
        <v>9</v>
      </c>
      <c r="CQ13" s="238">
        <f ca="1">SUMPRODUCT(SUBTOTAL(3,OFFSET(İstatistik[FG],ROW(İstatistik[FG])-MIN(ROW(İstatistik[FG])),,1)),--(İstatistik[FG]=CP13))</f>
        <v>1</v>
      </c>
      <c r="CR13" s="239">
        <f ca="1">CQ13/SUBTOTAL(3,İstatistik[FG])</f>
        <v>1</v>
      </c>
      <c r="CS13" s="240">
        <f ca="1">SUMPRODUCT(SUBTOTAL(3,OFFSET(İstatistik[PG],ROW(İstatistik[PG])-MIN(ROW(İstatistik[PG])),,1)),--(İstatistik[PG]=CP13))</f>
        <v>0</v>
      </c>
      <c r="CT13" s="241">
        <f ca="1">CS13/SUBTOTAL(3,İstatistik[PG])</f>
        <v>0</v>
      </c>
      <c r="CU13" s="242">
        <f ca="1">SUMPRODUCT(SUBTOTAL(3,OFFSET(İstatistik[SG],ROW(İstatistik[SG])-MIN(ROW(İstatistik[SG])),,1)),--(İstatistik[SG]=CP13))</f>
        <v>0</v>
      </c>
      <c r="CV13" s="243">
        <f ca="1">CU13/SUBTOTAL(3,İstatistik[SG])</f>
        <v>0</v>
      </c>
      <c r="CW13" s="87">
        <v>9</v>
      </c>
      <c r="CX13" s="238">
        <f ca="1">SUMPRODUCT(SUBTOTAL(3,OFFSET(İstatistik[1FG],ROW(İstatistik[1FG])-MIN(ROW(İstatistik[1FG])),,1)),--(İstatistik[1FG]=CP13))</f>
        <v>0</v>
      </c>
      <c r="CY13" s="239">
        <f ca="1">CX13/SUBTOTAL(3,İstatistik[FG])</f>
        <v>0</v>
      </c>
      <c r="CZ13" s="240">
        <f ca="1">SUMPRODUCT(SUBTOTAL(3,OFFSET(İstatistik[0FG],ROW(İstatistik[0FG])-MIN(ROW(İstatistik[0FG])),,1)),--(İstatistik[0FG]=CP13))</f>
        <v>0</v>
      </c>
      <c r="DA13" s="241">
        <f ca="1">CZ13/SUBTOTAL(3,İstatistik[PG])</f>
        <v>0</v>
      </c>
      <c r="DB13" s="242">
        <f ca="1">SUMPRODUCT(SUBTOTAL(3,OFFSET(İstatistik[2FG],ROW(İstatistik[2FG])-MIN(ROW(İstatistik[2FG])),,1)),--(İstatistik[2FG]=CP13))</f>
        <v>0</v>
      </c>
      <c r="DC13" s="243">
        <f ca="1">DB13/SUBTOTAL(3,İstatistik[SG])</f>
        <v>0</v>
      </c>
      <c r="DD13" s="87">
        <v>9</v>
      </c>
      <c r="DE13" s="238">
        <f ca="1">SUMPRODUCT(SUBTOTAL(3,OFFSET(İstatistik[1Y],ROW(İstatistik[1Y])-MIN(ROW(İstatistik[1Y])),,1)),--(İstatistik[1Y]=CP13))</f>
        <v>0</v>
      </c>
      <c r="DF13" s="239">
        <f ca="1">DE13/SUBTOTAL(3,İstatistik[1Y])</f>
        <v>0</v>
      </c>
      <c r="DG13" s="240">
        <f ca="1">SUMPRODUCT(SUBTOTAL(3,OFFSET(İstatistik[0Y],ROW(İstatistik[0Y])-MIN(ROW(İstatistik[0Y])),,1)),--(İstatistik[0Y]=CP13))</f>
        <v>0</v>
      </c>
      <c r="DH13" s="241">
        <f ca="1">DG13/SUBTOTAL(3,İstatistik[0Y])</f>
        <v>0</v>
      </c>
      <c r="DI13" s="242">
        <f ca="1">SUMPRODUCT(SUBTOTAL(3,OFFSET(İstatistik[2Y],ROW(İstatistik[2Y])-MIN(ROW(İstatistik[2Y])),,1)),--(İstatistik[2Y]=CP13))</f>
        <v>0</v>
      </c>
      <c r="DJ13" s="243">
        <f ca="1">DI13/SUBTOTAL(3,İstatistik[2Y])</f>
        <v>0</v>
      </c>
      <c r="DQ13" s="267"/>
      <c r="DR13" s="268"/>
      <c r="DS13" s="269"/>
      <c r="DU13" s="158">
        <v>9</v>
      </c>
      <c r="DV13" s="148">
        <f>MIN(İstatistik[9])</f>
        <v>13</v>
      </c>
      <c r="DW13" s="149">
        <f>MAX(İstatistik[9])</f>
        <v>13</v>
      </c>
      <c r="DX13" s="148">
        <f>MIN(Dinamik[9])</f>
        <v>2</v>
      </c>
      <c r="DY13" s="149">
        <f>MAX(Dinamik[9])</f>
        <v>2</v>
      </c>
      <c r="EG13" s="152"/>
      <c r="EH13" s="152"/>
      <c r="EI13" s="152"/>
      <c r="EJ13" s="152"/>
      <c r="EK13" s="152"/>
      <c r="FF13" s="259"/>
      <c r="FG13" s="260"/>
      <c r="FH13" s="261"/>
      <c r="GL13" s="267"/>
      <c r="GM13" s="268"/>
      <c r="GN13" s="269"/>
      <c r="IA13" s="1">
        <v>6</v>
      </c>
      <c r="IB13" s="1">
        <f>MIN(İstatistik[6])</f>
        <v>9</v>
      </c>
    </row>
    <row r="14" spans="1:241" ht="11.1" customHeight="1" thickBot="1" x14ac:dyDescent="0.3">
      <c r="F14" s="68" t="s">
        <v>64</v>
      </c>
      <c r="G14" s="84">
        <f>IFERROR(ROUND((G13*100)/$F$13,0),0)</f>
        <v>0</v>
      </c>
      <c r="H14" s="84">
        <f>IFERROR(ROUND((H13*100)/$F$13,0),0)</f>
        <v>0</v>
      </c>
      <c r="I14" s="85">
        <f>IFERROR(ROUND((I13*100)/$F$13,0),0)</f>
        <v>0</v>
      </c>
      <c r="K14" s="68" t="s">
        <v>64</v>
      </c>
      <c r="L14" s="84">
        <f>IFERROR(ROUND((L13*100)/$K$13,0),0)</f>
        <v>0</v>
      </c>
      <c r="M14" s="84">
        <f>IFERROR(ROUND((M13*100)/$K$13,0),0)</f>
        <v>0</v>
      </c>
      <c r="N14" s="85">
        <f>IFERROR(ROUND((N13*100)/$K$13,0),0)</f>
        <v>0</v>
      </c>
      <c r="R14" s="122">
        <f t="shared" si="13"/>
        <v>47</v>
      </c>
      <c r="S14" s="80">
        <f t="shared" si="14"/>
        <v>25</v>
      </c>
      <c r="T14" s="123">
        <f t="shared" si="15"/>
        <v>28</v>
      </c>
      <c r="V14" s="130">
        <f>COUNTIFS(Veri_Girişi[1O],"&gt;="&amp;R14-2,Veri_Girişi[1O],"&lt;="&amp;R14+2,Veri_Girişi[0O],"&gt;="&amp;S14-2,Veri_Girişi[0O],"&lt;="&amp;S14+2,Veri_Girişi[2O],"&gt;="&amp;T14-2,Veri_Girişi[2O],"&lt;="&amp;T14+2)</f>
        <v>0</v>
      </c>
      <c r="W14" s="78">
        <f>IFERROR(ROUND((COUNTIFS(Veri_Girişi[1O],"&gt;="&amp;R14-2,Veri_Girişi[1O],"&lt;="&amp;R14+2,Veri_Girişi[0O],"&gt;="&amp;S14-2,Veri_Girişi[0O],"&lt;="&amp;S14+2,Veri_Girişi[2O],"&gt;="&amp;T14-2,Veri_Girişi[2O],"&lt;="&amp;T14+2,Veri_Girişi[S],1))*100/V14,0),0)</f>
        <v>0</v>
      </c>
      <c r="X14" s="78">
        <f>IFERROR(ROUND((COUNTIFS(Veri_Girişi[1O],"&gt;="&amp;R14-2,Veri_Girişi[1O],"&lt;="&amp;R14+2,Veri_Girişi[0O],"&gt;="&amp;S14-2,Veri_Girişi[0O],"&lt;="&amp;S14+2,Veri_Girişi[2O],"&gt;="&amp;T14-2,Veri_Girişi[2O],"&lt;="&amp;T14+2,Veri_Girişi[S],0))*100/V14,0),0)</f>
        <v>0</v>
      </c>
      <c r="Y14" s="131">
        <f>IFERROR(ROUND((COUNTIFS(Veri_Girişi[1O],"&gt;="&amp;R14-2,Veri_Girişi[1O],"&lt;="&amp;R14+2,Veri_Girişi[0O],"&gt;="&amp;S14-2,Veri_Girişi[0O],"&lt;="&amp;S14+2,Veri_Girişi[2O],"&gt;="&amp;T14-2,Veri_Girişi[2O],"&lt;="&amp;T14+2,Veri_Girişi[S],2))*100/V14,0),0)</f>
        <v>0</v>
      </c>
      <c r="AA14" s="122">
        <f t="shared" si="16"/>
        <v>9</v>
      </c>
      <c r="AB14" s="80">
        <f t="shared" si="17"/>
        <v>28</v>
      </c>
      <c r="AC14" s="123">
        <f t="shared" si="18"/>
        <v>21</v>
      </c>
      <c r="AE14" s="130">
        <f>COUNTIFS(Veri_Girişi[1S],"&gt;="&amp;AA14-2,Veri_Girişi[1S],"&lt;="&amp;AA14+2,Veri_Girişi[0S],"&gt;="&amp;AB14-2,Veri_Girişi[0S],"&lt;="&amp;AB14+2,Veri_Girişi[2S],"&gt;="&amp;AC14-2,Veri_Girişi[2S],"&lt;="&amp;AC14+2)</f>
        <v>0</v>
      </c>
      <c r="AF14" s="78">
        <f>IFERROR(ROUND((COUNTIFS(Veri_Girişi[1S],"&gt;="&amp;AA14-2,Veri_Girişi[1S],"&lt;="&amp;AA14+2,Veri_Girişi[0S],"&gt;="&amp;AB14-2,Veri_Girişi[0S],"&lt;="&amp;AB14+2,Veri_Girişi[2S],"&gt;="&amp;AC14-2,Veri_Girişi[2S],"&lt;="&amp;AC14+2,Veri_Girişi[S],1))*100/AE14,0),0)</f>
        <v>0</v>
      </c>
      <c r="AG14" s="78">
        <f>IFERROR(ROUND((COUNTIFS(Veri_Girişi[1S],"&gt;="&amp;AA14-2,Veri_Girişi[1S],"&lt;="&amp;AA14+2,Veri_Girişi[0S],"&gt;="&amp;AB14-2,Veri_Girişi[0S],"&lt;="&amp;AB14+2,Veri_Girişi[2S],"&gt;="&amp;AC14-2,Veri_Girişi[2S],"&lt;="&amp;AC14+2,Veri_Girişi[S],0))*100/AE14,0),0)</f>
        <v>0</v>
      </c>
      <c r="AH14" s="131">
        <f>IFERROR(ROUND((COUNTIFS(Veri_Girişi[1S],"&gt;="&amp;AA14-2,Veri_Girişi[1S],"&lt;="&amp;AA14+2,Veri_Girişi[0S],"&gt;="&amp;AB14-2,Veri_Girişi[0S],"&lt;="&amp;AB14+2,Veri_Girişi[2S],"&gt;="&amp;AC14-2,Veri_Girişi[2S],"&lt;="&amp;AC14+2,Veri_Girişi[S],2))*100/AE14,0),0)</f>
        <v>0</v>
      </c>
      <c r="AJ14" s="122" t="str">
        <f t="shared" si="19"/>
        <v>F</v>
      </c>
      <c r="AK14" s="80" t="str">
        <f t="shared" si="20"/>
        <v>S</v>
      </c>
      <c r="AL14" s="123" t="str">
        <f t="shared" si="21"/>
        <v>P</v>
      </c>
      <c r="AT14" s="106">
        <v>12</v>
      </c>
      <c r="AU14" s="4" t="s">
        <v>53</v>
      </c>
      <c r="AV14" s="5" t="s">
        <v>85</v>
      </c>
      <c r="AW14" s="6">
        <v>1</v>
      </c>
      <c r="AX14" s="7">
        <v>79</v>
      </c>
      <c r="AY14" s="8">
        <v>12</v>
      </c>
      <c r="AZ14" s="9">
        <v>9</v>
      </c>
      <c r="BA14" s="6">
        <f t="shared" si="1"/>
        <v>79</v>
      </c>
      <c r="BB14" s="7" t="str">
        <f t="shared" si="2"/>
        <v>F</v>
      </c>
      <c r="BC14" s="8" t="str">
        <f t="shared" si="3"/>
        <v>P</v>
      </c>
      <c r="BD14" s="9" t="str">
        <f t="shared" si="4"/>
        <v>S</v>
      </c>
      <c r="BE14" s="6" t="str">
        <f t="shared" si="5"/>
        <v>F</v>
      </c>
      <c r="BF14" s="7">
        <f t="shared" si="6"/>
        <v>1</v>
      </c>
      <c r="BG14" s="8">
        <f t="shared" si="7"/>
        <v>44</v>
      </c>
      <c r="BH14" s="9">
        <f t="shared" si="8"/>
        <v>45</v>
      </c>
      <c r="BI14" s="107">
        <f t="shared" si="9"/>
        <v>1</v>
      </c>
      <c r="CJ14" s="232">
        <f ca="1">SUMPRODUCT(SUBTOTAL(3,OFFSET(İstatistik[1G],ROW(İstatistik[1G])-MIN(ROW(İstatistik[1G])),,1)),--(İstatistik[1G]=CP14))</f>
        <v>0</v>
      </c>
      <c r="CK14" s="244">
        <f ca="1">CJ14/SUBTOTAL(3,İstatistik[1G])</f>
        <v>0</v>
      </c>
      <c r="CL14" s="234">
        <f ca="1">SUMPRODUCT(SUBTOTAL(3,OFFSET(İstatistik[0G],ROW(İstatistik[0G])-MIN(ROW(İstatistik[0G])),,1)),--(İstatistik[0G]=CP14))</f>
        <v>0</v>
      </c>
      <c r="CM14" s="235">
        <f ca="1">CL14/SUBTOTAL(3,İstatistik[0G])</f>
        <v>0</v>
      </c>
      <c r="CN14" s="236">
        <f ca="1">SUMPRODUCT(SUBTOTAL(3,OFFSET(İstatistik[2G],ROW(İstatistik[2G])-MIN(ROW(İstatistik[2G])),,1)),--(İstatistik[2G]=CP14))</f>
        <v>0</v>
      </c>
      <c r="CO14" s="237">
        <f ca="1">CN14/SUBTOTAL(3,İstatistik[2G])</f>
        <v>0</v>
      </c>
      <c r="CP14" s="87">
        <v>10</v>
      </c>
      <c r="CQ14" s="232">
        <f ca="1">SUMPRODUCT(SUBTOTAL(3,OFFSET(İstatistik[FG],ROW(İstatistik[FG])-MIN(ROW(İstatistik[FG])),,1)),--(İstatistik[FG]=CP14))</f>
        <v>0</v>
      </c>
      <c r="CR14" s="244">
        <f ca="1">CQ14/SUBTOTAL(3,İstatistik[FG])</f>
        <v>0</v>
      </c>
      <c r="CS14" s="234">
        <f ca="1">SUMPRODUCT(SUBTOTAL(3,OFFSET(İstatistik[PG],ROW(İstatistik[PG])-MIN(ROW(İstatistik[PG])),,1)),--(İstatistik[PG]=CP14))</f>
        <v>0</v>
      </c>
      <c r="CT14" s="235">
        <f ca="1">CS14/SUBTOTAL(3,İstatistik[PG])</f>
        <v>0</v>
      </c>
      <c r="CU14" s="236">
        <f ca="1">SUMPRODUCT(SUBTOTAL(3,OFFSET(İstatistik[SG],ROW(İstatistik[SG])-MIN(ROW(İstatistik[SG])),,1)),--(İstatistik[SG]=CP14))</f>
        <v>0</v>
      </c>
      <c r="CV14" s="237">
        <f ca="1">CU14/SUBTOTAL(3,İstatistik[SG])</f>
        <v>0</v>
      </c>
      <c r="CW14" s="87">
        <v>10</v>
      </c>
      <c r="CX14" s="232">
        <f ca="1">SUMPRODUCT(SUBTOTAL(3,OFFSET(İstatistik[1FG],ROW(İstatistik[1FG])-MIN(ROW(İstatistik[1FG])),,1)),--(İstatistik[1FG]=CP14))</f>
        <v>0</v>
      </c>
      <c r="CY14" s="244">
        <f ca="1">CX14/SUBTOTAL(3,İstatistik[FG])</f>
        <v>0</v>
      </c>
      <c r="CZ14" s="234">
        <f ca="1">SUMPRODUCT(SUBTOTAL(3,OFFSET(İstatistik[0FG],ROW(İstatistik[0FG])-MIN(ROW(İstatistik[0FG])),,1)),--(İstatistik[0FG]=CP14))</f>
        <v>0</v>
      </c>
      <c r="DA14" s="235">
        <f ca="1">CZ14/SUBTOTAL(3,İstatistik[PG])</f>
        <v>0</v>
      </c>
      <c r="DB14" s="236">
        <f ca="1">SUMPRODUCT(SUBTOTAL(3,OFFSET(İstatistik[2FG],ROW(İstatistik[2FG])-MIN(ROW(İstatistik[2FG])),,1)),--(İstatistik[2FG]=CP14))</f>
        <v>0</v>
      </c>
      <c r="DC14" s="237">
        <f ca="1">DB14/SUBTOTAL(3,İstatistik[SG])</f>
        <v>0</v>
      </c>
      <c r="DD14" s="87">
        <v>10</v>
      </c>
      <c r="DE14" s="232">
        <f ca="1">SUMPRODUCT(SUBTOTAL(3,OFFSET(İstatistik[1Y],ROW(İstatistik[1Y])-MIN(ROW(İstatistik[1Y])),,1)),--(İstatistik[1Y]=CP14))</f>
        <v>0</v>
      </c>
      <c r="DF14" s="244">
        <f ca="1">DE14/SUBTOTAL(3,İstatistik[1Y])</f>
        <v>0</v>
      </c>
      <c r="DG14" s="234">
        <f ca="1">SUMPRODUCT(SUBTOTAL(3,OFFSET(İstatistik[0Y],ROW(İstatistik[0Y])-MIN(ROW(İstatistik[0Y])),,1)),--(İstatistik[0Y]=CP14))</f>
        <v>0</v>
      </c>
      <c r="DH14" s="235">
        <f ca="1">DG14/SUBTOTAL(3,İstatistik[0Y])</f>
        <v>0</v>
      </c>
      <c r="DI14" s="236">
        <f ca="1">SUMPRODUCT(SUBTOTAL(3,OFFSET(İstatistik[2Y],ROW(İstatistik[2Y])-MIN(ROW(İstatistik[2Y])),,1)),--(İstatistik[2Y]=CP14))</f>
        <v>0</v>
      </c>
      <c r="DJ14" s="237">
        <f ca="1">DI14/SUBTOTAL(3,İstatistik[2Y])</f>
        <v>0</v>
      </c>
      <c r="DU14" s="158">
        <v>10</v>
      </c>
      <c r="DV14" s="150">
        <f>MIN(İstatistik[10])</f>
        <v>19</v>
      </c>
      <c r="DW14" s="151">
        <f>MAX(İstatistik[10])</f>
        <v>19</v>
      </c>
      <c r="DX14" s="150">
        <f>MIN(Dinamik[10])</f>
        <v>1</v>
      </c>
      <c r="DY14" s="151">
        <f>MAX(Dinamik[10])</f>
        <v>1</v>
      </c>
      <c r="EG14" s="152"/>
      <c r="EH14" s="152"/>
      <c r="EI14" s="152"/>
      <c r="EJ14" s="152"/>
      <c r="EK14" s="152"/>
      <c r="IA14" s="1">
        <v>7</v>
      </c>
      <c r="IB14" s="1">
        <f>MIN(İstatistik[7])</f>
        <v>11</v>
      </c>
    </row>
    <row r="15" spans="1:241" ht="11.1" customHeight="1" thickBot="1" x14ac:dyDescent="0.3">
      <c r="A15" s="256" t="s">
        <v>117</v>
      </c>
      <c r="B15" s="257"/>
      <c r="C15" s="258"/>
      <c r="R15" s="122">
        <f t="shared" si="13"/>
        <v>71</v>
      </c>
      <c r="S15" s="80">
        <f t="shared" si="14"/>
        <v>13</v>
      </c>
      <c r="T15" s="123">
        <f t="shared" si="15"/>
        <v>16</v>
      </c>
      <c r="V15" s="130">
        <f>COUNTIFS(Veri_Girişi[1O],"&gt;="&amp;R15-2,Veri_Girişi[1O],"&lt;="&amp;R15+2,Veri_Girişi[0O],"&gt;="&amp;S15-2,Veri_Girişi[0O],"&lt;="&amp;S15+2,Veri_Girişi[2O],"&gt;="&amp;T15-2,Veri_Girişi[2O],"&lt;="&amp;T15+2)</f>
        <v>1</v>
      </c>
      <c r="W15" s="78">
        <f>IFERROR(ROUND((COUNTIFS(Veri_Girişi[1O],"&gt;="&amp;R15-2,Veri_Girişi[1O],"&lt;="&amp;R15+2,Veri_Girişi[0O],"&gt;="&amp;S15-2,Veri_Girişi[0O],"&lt;="&amp;S15+2,Veri_Girişi[2O],"&gt;="&amp;T15-2,Veri_Girişi[2O],"&lt;="&amp;T15+2,Veri_Girişi[S],1))*100/V15,0),0)</f>
        <v>100</v>
      </c>
      <c r="X15" s="78">
        <f>IFERROR(ROUND((COUNTIFS(Veri_Girişi[1O],"&gt;="&amp;R15-2,Veri_Girişi[1O],"&lt;="&amp;R15+2,Veri_Girişi[0O],"&gt;="&amp;S15-2,Veri_Girişi[0O],"&lt;="&amp;S15+2,Veri_Girişi[2O],"&gt;="&amp;T15-2,Veri_Girişi[2O],"&lt;="&amp;T15+2,Veri_Girişi[S],0))*100/V15,0),0)</f>
        <v>0</v>
      </c>
      <c r="Y15" s="131">
        <f>IFERROR(ROUND((COUNTIFS(Veri_Girişi[1O],"&gt;="&amp;R15-2,Veri_Girişi[1O],"&lt;="&amp;R15+2,Veri_Girişi[0O],"&gt;="&amp;S15-2,Veri_Girişi[0O],"&lt;="&amp;S15+2,Veri_Girişi[2O],"&gt;="&amp;T15-2,Veri_Girişi[2O],"&lt;="&amp;T15+2,Veri_Girişi[S],2))*100/V15,0),0)</f>
        <v>0</v>
      </c>
      <c r="AA15" s="122">
        <f t="shared" si="16"/>
        <v>2</v>
      </c>
      <c r="AB15" s="80">
        <f t="shared" si="17"/>
        <v>43</v>
      </c>
      <c r="AC15" s="123">
        <f t="shared" si="18"/>
        <v>41</v>
      </c>
      <c r="AE15" s="130">
        <f>COUNTIFS(Veri_Girişi[1S],"&gt;="&amp;AA15-2,Veri_Girişi[1S],"&lt;="&amp;AA15+2,Veri_Girişi[0S],"&gt;="&amp;AB15-2,Veri_Girişi[0S],"&lt;="&amp;AB15+2,Veri_Girişi[2S],"&gt;="&amp;AC15-2,Veri_Girişi[2S],"&lt;="&amp;AC15+2)</f>
        <v>1</v>
      </c>
      <c r="AF15" s="78">
        <f>IFERROR(ROUND((COUNTIFS(Veri_Girişi[1S],"&gt;="&amp;AA15-2,Veri_Girişi[1S],"&lt;="&amp;AA15+2,Veri_Girişi[0S],"&gt;="&amp;AB15-2,Veri_Girişi[0S],"&lt;="&amp;AB15+2,Veri_Girişi[2S],"&gt;="&amp;AC15-2,Veri_Girişi[2S],"&lt;="&amp;AC15+2,Veri_Girişi[S],1))*100/AE15,0),0)</f>
        <v>100</v>
      </c>
      <c r="AG15" s="78">
        <f>IFERROR(ROUND((COUNTIFS(Veri_Girişi[1S],"&gt;="&amp;AA15-2,Veri_Girişi[1S],"&lt;="&amp;AA15+2,Veri_Girişi[0S],"&gt;="&amp;AB15-2,Veri_Girişi[0S],"&lt;="&amp;AB15+2,Veri_Girişi[2S],"&gt;="&amp;AC15-2,Veri_Girişi[2S],"&lt;="&amp;AC15+2,Veri_Girişi[S],0))*100/AE15,0),0)</f>
        <v>0</v>
      </c>
      <c r="AH15" s="131">
        <f>IFERROR(ROUND((COUNTIFS(Veri_Girişi[1S],"&gt;="&amp;AA15-2,Veri_Girişi[1S],"&lt;="&amp;AA15+2,Veri_Girişi[0S],"&gt;="&amp;AB15-2,Veri_Girişi[0S],"&lt;="&amp;AB15+2,Veri_Girişi[2S],"&gt;="&amp;AC15-2,Veri_Girişi[2S],"&lt;="&amp;AC15+2,Veri_Girişi[S],2))*100/AE15,0),0)</f>
        <v>0</v>
      </c>
      <c r="AJ15" s="122" t="str">
        <f t="shared" si="19"/>
        <v>F</v>
      </c>
      <c r="AK15" s="80" t="str">
        <f t="shared" si="20"/>
        <v>S</v>
      </c>
      <c r="AL15" s="123" t="str">
        <f t="shared" si="21"/>
        <v>P</v>
      </c>
      <c r="AP15" s="280" t="s">
        <v>117</v>
      </c>
      <c r="AQ15" s="281"/>
      <c r="AR15" s="282"/>
      <c r="AT15" s="106">
        <v>13</v>
      </c>
      <c r="AU15" s="4" t="s">
        <v>29</v>
      </c>
      <c r="AV15" s="5" t="s">
        <v>28</v>
      </c>
      <c r="AW15" s="6">
        <v>1</v>
      </c>
      <c r="AX15" s="7">
        <v>64</v>
      </c>
      <c r="AY15" s="8">
        <v>19</v>
      </c>
      <c r="AZ15" s="9">
        <v>17</v>
      </c>
      <c r="BA15" s="6">
        <f t="shared" si="1"/>
        <v>64</v>
      </c>
      <c r="BB15" s="7" t="str">
        <f t="shared" si="2"/>
        <v>F</v>
      </c>
      <c r="BC15" s="8" t="str">
        <f t="shared" si="3"/>
        <v>P</v>
      </c>
      <c r="BD15" s="9" t="str">
        <f t="shared" si="4"/>
        <v>S</v>
      </c>
      <c r="BE15" s="6" t="str">
        <f t="shared" si="5"/>
        <v>F</v>
      </c>
      <c r="BF15" s="7">
        <f t="shared" si="6"/>
        <v>4</v>
      </c>
      <c r="BG15" s="8">
        <f t="shared" si="7"/>
        <v>38</v>
      </c>
      <c r="BH15" s="9">
        <f t="shared" si="8"/>
        <v>39</v>
      </c>
      <c r="BI15" s="107">
        <f t="shared" si="9"/>
        <v>4</v>
      </c>
      <c r="CB15" s="256" t="s">
        <v>117</v>
      </c>
      <c r="CC15" s="257"/>
      <c r="CD15" s="258"/>
      <c r="CJ15" s="238">
        <f ca="1">SUMPRODUCT(SUBTOTAL(3,OFFSET(İstatistik[1G],ROW(İstatistik[1G])-MIN(ROW(İstatistik[1G])),,1)),--(İstatistik[1G]=CP15))</f>
        <v>0</v>
      </c>
      <c r="CK15" s="239">
        <f ca="1">CJ15/SUBTOTAL(3,İstatistik[1G])</f>
        <v>0</v>
      </c>
      <c r="CL15" s="240">
        <f ca="1">SUMPRODUCT(SUBTOTAL(3,OFFSET(İstatistik[0G],ROW(İstatistik[0G])-MIN(ROW(İstatistik[0G])),,1)),--(İstatistik[0G]=CP15))</f>
        <v>0</v>
      </c>
      <c r="CM15" s="241">
        <f ca="1">CL15/SUBTOTAL(3,İstatistik[0G])</f>
        <v>0</v>
      </c>
      <c r="CN15" s="242">
        <f ca="1">SUMPRODUCT(SUBTOTAL(3,OFFSET(İstatistik[2G],ROW(İstatistik[2G])-MIN(ROW(İstatistik[2G])),,1)),--(İstatistik[2G]=CP15))</f>
        <v>0</v>
      </c>
      <c r="CO15" s="243">
        <f ca="1">CN15/SUBTOTAL(3,İstatistik[2G])</f>
        <v>0</v>
      </c>
      <c r="CP15" s="87">
        <v>11</v>
      </c>
      <c r="CQ15" s="238">
        <f ca="1">SUMPRODUCT(SUBTOTAL(3,OFFSET(İstatistik[FG],ROW(İstatistik[FG])-MIN(ROW(İstatistik[FG])),,1)),--(İstatistik[FG]=CP15))</f>
        <v>0</v>
      </c>
      <c r="CR15" s="239">
        <f ca="1">CQ15/SUBTOTAL(3,İstatistik[FG])</f>
        <v>0</v>
      </c>
      <c r="CS15" s="240">
        <f ca="1">SUMPRODUCT(SUBTOTAL(3,OFFSET(İstatistik[PG],ROW(İstatistik[PG])-MIN(ROW(İstatistik[PG])),,1)),--(İstatistik[PG]=CP15))</f>
        <v>0</v>
      </c>
      <c r="CT15" s="241">
        <f ca="1">CS15/SUBTOTAL(3,İstatistik[PG])</f>
        <v>0</v>
      </c>
      <c r="CU15" s="242">
        <f ca="1">SUMPRODUCT(SUBTOTAL(3,OFFSET(İstatistik[SG],ROW(İstatistik[SG])-MIN(ROW(İstatistik[SG])),,1)),--(İstatistik[SG]=CP15))</f>
        <v>0</v>
      </c>
      <c r="CV15" s="243">
        <f ca="1">CU15/SUBTOTAL(3,İstatistik[SG])</f>
        <v>0</v>
      </c>
      <c r="CW15" s="87">
        <v>11</v>
      </c>
      <c r="CX15" s="238">
        <f ca="1">SUMPRODUCT(SUBTOTAL(3,OFFSET(İstatistik[1FG],ROW(İstatistik[1FG])-MIN(ROW(İstatistik[1FG])),,1)),--(İstatistik[1FG]=CP15))</f>
        <v>0</v>
      </c>
      <c r="CY15" s="239">
        <f ca="1">CX15/SUBTOTAL(3,İstatistik[FG])</f>
        <v>0</v>
      </c>
      <c r="CZ15" s="240">
        <f ca="1">SUMPRODUCT(SUBTOTAL(3,OFFSET(İstatistik[0FG],ROW(İstatistik[0FG])-MIN(ROW(İstatistik[0FG])),,1)),--(İstatistik[0FG]=CP15))</f>
        <v>0</v>
      </c>
      <c r="DA15" s="241">
        <f ca="1">CZ15/SUBTOTAL(3,İstatistik[PG])</f>
        <v>0</v>
      </c>
      <c r="DB15" s="242">
        <f ca="1">SUMPRODUCT(SUBTOTAL(3,OFFSET(İstatistik[2FG],ROW(İstatistik[2FG])-MIN(ROW(İstatistik[2FG])),,1)),--(İstatistik[2FG]=CP15))</f>
        <v>0</v>
      </c>
      <c r="DC15" s="243">
        <f ca="1">DB15/SUBTOTAL(3,İstatistik[SG])</f>
        <v>0</v>
      </c>
      <c r="DD15" s="87">
        <v>11</v>
      </c>
      <c r="DE15" s="238">
        <f ca="1">SUMPRODUCT(SUBTOTAL(3,OFFSET(İstatistik[1Y],ROW(İstatistik[1Y])-MIN(ROW(İstatistik[1Y])),,1)),--(İstatistik[1Y]=CP15))</f>
        <v>0</v>
      </c>
      <c r="DF15" s="239">
        <f ca="1">DE15/SUBTOTAL(3,İstatistik[1Y])</f>
        <v>0</v>
      </c>
      <c r="DG15" s="240">
        <f ca="1">SUMPRODUCT(SUBTOTAL(3,OFFSET(İstatistik[0Y],ROW(İstatistik[0Y])-MIN(ROW(İstatistik[0Y])),,1)),--(İstatistik[0Y]=CP15))</f>
        <v>0</v>
      </c>
      <c r="DH15" s="241">
        <f ca="1">DG15/SUBTOTAL(3,İstatistik[0Y])</f>
        <v>0</v>
      </c>
      <c r="DI15" s="242">
        <f ca="1">SUMPRODUCT(SUBTOTAL(3,OFFSET(İstatistik[2Y],ROW(İstatistik[2Y])-MIN(ROW(İstatistik[2Y])),,1)),--(İstatistik[2Y]=CP15))</f>
        <v>0</v>
      </c>
      <c r="DJ15" s="243">
        <f ca="1">DI15/SUBTOTAL(3,İstatistik[2Y])</f>
        <v>0</v>
      </c>
      <c r="DQ15" s="256" t="s">
        <v>117</v>
      </c>
      <c r="DR15" s="257"/>
      <c r="DS15" s="258"/>
      <c r="DU15" s="158">
        <v>11</v>
      </c>
      <c r="DV15" s="148">
        <f>MIN(İstatistik[11])</f>
        <v>29</v>
      </c>
      <c r="DW15" s="149">
        <f>MAX(İstatistik[11])</f>
        <v>29</v>
      </c>
      <c r="DX15" s="148">
        <f>MIN(Dinamik[11])</f>
        <v>2</v>
      </c>
      <c r="DY15" s="149">
        <f>MAX(Dinamik[11])</f>
        <v>2</v>
      </c>
      <c r="EG15" s="152"/>
      <c r="EH15" s="152"/>
      <c r="EI15" s="152"/>
      <c r="EJ15" s="152"/>
      <c r="EK15" s="152"/>
      <c r="FF15" s="264"/>
      <c r="FG15" s="286"/>
      <c r="FH15" s="287"/>
      <c r="IA15" s="1">
        <v>8</v>
      </c>
      <c r="IB15" s="1">
        <f>MIN(İstatistik[8])</f>
        <v>13</v>
      </c>
    </row>
    <row r="16" spans="1:241" ht="11.1" customHeight="1" thickBot="1" x14ac:dyDescent="0.3">
      <c r="A16" s="259"/>
      <c r="B16" s="260"/>
      <c r="C16" s="261"/>
      <c r="H16" s="24" t="s">
        <v>9</v>
      </c>
      <c r="I16" s="25"/>
      <c r="J16" s="25"/>
      <c r="K16" s="26"/>
      <c r="L16" s="20"/>
      <c r="R16" s="122">
        <f t="shared" si="13"/>
        <v>79</v>
      </c>
      <c r="S16" s="80">
        <f t="shared" si="14"/>
        <v>12</v>
      </c>
      <c r="T16" s="123">
        <f t="shared" si="15"/>
        <v>9</v>
      </c>
      <c r="V16" s="130">
        <f>COUNTIFS(Veri_Girişi[1O],"&gt;="&amp;R16-2,Veri_Girişi[1O],"&lt;="&amp;R16+2,Veri_Girişi[0O],"&gt;="&amp;S16-2,Veri_Girişi[0O],"&lt;="&amp;S16+2,Veri_Girişi[2O],"&gt;="&amp;T16-2,Veri_Girişi[2O],"&lt;="&amp;T16+2)</f>
        <v>0</v>
      </c>
      <c r="W16" s="78">
        <f>IFERROR(ROUND((COUNTIFS(Veri_Girişi[1O],"&gt;="&amp;R16-2,Veri_Girişi[1O],"&lt;="&amp;R16+2,Veri_Girişi[0O],"&gt;="&amp;S16-2,Veri_Girişi[0O],"&lt;="&amp;S16+2,Veri_Girişi[2O],"&gt;="&amp;T16-2,Veri_Girişi[2O],"&lt;="&amp;T16+2,Veri_Girişi[S],1))*100/V16,0),0)</f>
        <v>0</v>
      </c>
      <c r="X16" s="78">
        <f>IFERROR(ROUND((COUNTIFS(Veri_Girişi[1O],"&gt;="&amp;R16-2,Veri_Girişi[1O],"&lt;="&amp;R16+2,Veri_Girişi[0O],"&gt;="&amp;S16-2,Veri_Girişi[0O],"&lt;="&amp;S16+2,Veri_Girişi[2O],"&gt;="&amp;T16-2,Veri_Girişi[2O],"&lt;="&amp;T16+2,Veri_Girişi[S],0))*100/V16,0),0)</f>
        <v>0</v>
      </c>
      <c r="Y16" s="131">
        <f>IFERROR(ROUND((COUNTIFS(Veri_Girişi[1O],"&gt;="&amp;R16-2,Veri_Girişi[1O],"&lt;="&amp;R16+2,Veri_Girişi[0O],"&gt;="&amp;S16-2,Veri_Girişi[0O],"&lt;="&amp;S16+2,Veri_Girişi[2O],"&gt;="&amp;T16-2,Veri_Girişi[2O],"&lt;="&amp;T16+2,Veri_Girişi[S],2))*100/V16,0),0)</f>
        <v>0</v>
      </c>
      <c r="AA16" s="122">
        <f t="shared" si="16"/>
        <v>1</v>
      </c>
      <c r="AB16" s="80">
        <f t="shared" si="17"/>
        <v>44</v>
      </c>
      <c r="AC16" s="123">
        <f t="shared" si="18"/>
        <v>45</v>
      </c>
      <c r="AE16" s="130">
        <f>COUNTIFS(Veri_Girişi[1S],"&gt;="&amp;AA16-2,Veri_Girişi[1S],"&lt;="&amp;AA16+2,Veri_Girişi[0S],"&gt;="&amp;AB16-2,Veri_Girişi[0S],"&lt;="&amp;AB16+2,Veri_Girişi[2S],"&gt;="&amp;AC16-2,Veri_Girişi[2S],"&lt;="&amp;AC16+2)</f>
        <v>0</v>
      </c>
      <c r="AF16" s="78">
        <f>IFERROR(ROUND((COUNTIFS(Veri_Girişi[1S],"&gt;="&amp;AA16-2,Veri_Girişi[1S],"&lt;="&amp;AA16+2,Veri_Girişi[0S],"&gt;="&amp;AB16-2,Veri_Girişi[0S],"&lt;="&amp;AB16+2,Veri_Girişi[2S],"&gt;="&amp;AC16-2,Veri_Girişi[2S],"&lt;="&amp;AC16+2,Veri_Girişi[S],1))*100/AE16,0),0)</f>
        <v>0</v>
      </c>
      <c r="AG16" s="78">
        <f>IFERROR(ROUND((COUNTIFS(Veri_Girişi[1S],"&gt;="&amp;AA16-2,Veri_Girişi[1S],"&lt;="&amp;AA16+2,Veri_Girişi[0S],"&gt;="&amp;AB16-2,Veri_Girişi[0S],"&lt;="&amp;AB16+2,Veri_Girişi[2S],"&gt;="&amp;AC16-2,Veri_Girişi[2S],"&lt;="&amp;AC16+2,Veri_Girişi[S],0))*100/AE16,0),0)</f>
        <v>0</v>
      </c>
      <c r="AH16" s="131">
        <f>IFERROR(ROUND((COUNTIFS(Veri_Girişi[1S],"&gt;="&amp;AA16-2,Veri_Girişi[1S],"&lt;="&amp;AA16+2,Veri_Girişi[0S],"&gt;="&amp;AB16-2,Veri_Girişi[0S],"&lt;="&amp;AB16+2,Veri_Girişi[2S],"&gt;="&amp;AC16-2,Veri_Girişi[2S],"&lt;="&amp;AC16+2,Veri_Girişi[S],2))*100/AE16,0),0)</f>
        <v>0</v>
      </c>
      <c r="AJ16" s="122" t="str">
        <f t="shared" si="19"/>
        <v>F</v>
      </c>
      <c r="AK16" s="80" t="str">
        <f t="shared" si="20"/>
        <v>P</v>
      </c>
      <c r="AL16" s="123" t="str">
        <f t="shared" si="21"/>
        <v>S</v>
      </c>
      <c r="AP16" s="283"/>
      <c r="AQ16" s="284"/>
      <c r="AR16" s="285"/>
      <c r="AT16" s="106">
        <v>14</v>
      </c>
      <c r="AU16" s="4" t="s">
        <v>88</v>
      </c>
      <c r="AV16" s="5" t="s">
        <v>59</v>
      </c>
      <c r="AW16" s="6">
        <v>2</v>
      </c>
      <c r="AX16" s="7">
        <v>44</v>
      </c>
      <c r="AY16" s="8">
        <v>27</v>
      </c>
      <c r="AZ16" s="9">
        <v>29</v>
      </c>
      <c r="BA16" s="6">
        <f t="shared" si="1"/>
        <v>29</v>
      </c>
      <c r="BB16" s="7" t="str">
        <f t="shared" si="2"/>
        <v>F</v>
      </c>
      <c r="BC16" s="8" t="str">
        <f t="shared" si="3"/>
        <v>S</v>
      </c>
      <c r="BD16" s="9" t="str">
        <f t="shared" si="4"/>
        <v>P</v>
      </c>
      <c r="BE16" s="6" t="str">
        <f t="shared" si="5"/>
        <v>P</v>
      </c>
      <c r="BF16" s="7">
        <f t="shared" si="6"/>
        <v>12</v>
      </c>
      <c r="BG16" s="8">
        <f t="shared" si="7"/>
        <v>24</v>
      </c>
      <c r="BH16" s="9">
        <f t="shared" si="8"/>
        <v>20</v>
      </c>
      <c r="BI16" s="107">
        <f t="shared" si="9"/>
        <v>20</v>
      </c>
      <c r="CB16" s="259"/>
      <c r="CC16" s="260"/>
      <c r="CD16" s="261"/>
      <c r="CJ16" s="232">
        <f ca="1">SUMPRODUCT(SUBTOTAL(3,OFFSET(İstatistik[1G],ROW(İstatistik[1G])-MIN(ROW(İstatistik[1G])),,1)),--(İstatistik[1G]=CP16))</f>
        <v>0</v>
      </c>
      <c r="CK16" s="244">
        <f ca="1">CJ16/SUBTOTAL(3,İstatistik[1G])</f>
        <v>0</v>
      </c>
      <c r="CL16" s="234">
        <f ca="1">SUMPRODUCT(SUBTOTAL(3,OFFSET(İstatistik[0G],ROW(İstatistik[0G])-MIN(ROW(İstatistik[0G])),,1)),--(İstatistik[0G]=CP16))</f>
        <v>0</v>
      </c>
      <c r="CM16" s="235">
        <f ca="1">CL16/SUBTOTAL(3,İstatistik[0G])</f>
        <v>0</v>
      </c>
      <c r="CN16" s="236">
        <f ca="1">SUMPRODUCT(SUBTOTAL(3,OFFSET(İstatistik[2G],ROW(İstatistik[2G])-MIN(ROW(İstatistik[2G])),,1)),--(İstatistik[2G]=CP16))</f>
        <v>0</v>
      </c>
      <c r="CO16" s="237">
        <f ca="1">CN16/SUBTOTAL(3,İstatistik[2G])</f>
        <v>0</v>
      </c>
      <c r="CP16" s="87">
        <v>12</v>
      </c>
      <c r="CQ16" s="232">
        <f ca="1">SUMPRODUCT(SUBTOTAL(3,OFFSET(İstatistik[FG],ROW(İstatistik[FG])-MIN(ROW(İstatistik[FG])),,1)),--(İstatistik[FG]=CP16))</f>
        <v>0</v>
      </c>
      <c r="CR16" s="244">
        <f ca="1">CQ16/SUBTOTAL(3,İstatistik[FG])</f>
        <v>0</v>
      </c>
      <c r="CS16" s="234">
        <f ca="1">SUMPRODUCT(SUBTOTAL(3,OFFSET(İstatistik[PG],ROW(İstatistik[PG])-MIN(ROW(İstatistik[PG])),,1)),--(İstatistik[PG]=CP16))</f>
        <v>0</v>
      </c>
      <c r="CT16" s="235">
        <f ca="1">CS16/SUBTOTAL(3,İstatistik[PG])</f>
        <v>0</v>
      </c>
      <c r="CU16" s="236">
        <f ca="1">SUMPRODUCT(SUBTOTAL(3,OFFSET(İstatistik[SG],ROW(İstatistik[SG])-MIN(ROW(İstatistik[SG])),,1)),--(İstatistik[SG]=CP16))</f>
        <v>0</v>
      </c>
      <c r="CV16" s="237">
        <f ca="1">CU16/SUBTOTAL(3,İstatistik[SG])</f>
        <v>0</v>
      </c>
      <c r="CW16" s="87">
        <v>12</v>
      </c>
      <c r="CX16" s="232">
        <f ca="1">SUMPRODUCT(SUBTOTAL(3,OFFSET(İstatistik[1FG],ROW(İstatistik[1FG])-MIN(ROW(İstatistik[1FG])),,1)),--(İstatistik[1FG]=CP16))</f>
        <v>0</v>
      </c>
      <c r="CY16" s="244">
        <f ca="1">CX16/SUBTOTAL(3,İstatistik[FG])</f>
        <v>0</v>
      </c>
      <c r="CZ16" s="234">
        <f ca="1">SUMPRODUCT(SUBTOTAL(3,OFFSET(İstatistik[0FG],ROW(İstatistik[0FG])-MIN(ROW(İstatistik[0FG])),,1)),--(İstatistik[0FG]=CP16))</f>
        <v>0</v>
      </c>
      <c r="DA16" s="235">
        <f ca="1">CZ16/SUBTOTAL(3,İstatistik[PG])</f>
        <v>0</v>
      </c>
      <c r="DB16" s="236">
        <f ca="1">SUMPRODUCT(SUBTOTAL(3,OFFSET(İstatistik[2FG],ROW(İstatistik[2FG])-MIN(ROW(İstatistik[2FG])),,1)),--(İstatistik[2FG]=CP16))</f>
        <v>0</v>
      </c>
      <c r="DC16" s="237">
        <f ca="1">DB16/SUBTOTAL(3,İstatistik[SG])</f>
        <v>0</v>
      </c>
      <c r="DD16" s="87">
        <v>12</v>
      </c>
      <c r="DE16" s="232">
        <f ca="1">SUMPRODUCT(SUBTOTAL(3,OFFSET(İstatistik[1Y],ROW(İstatistik[1Y])-MIN(ROW(İstatistik[1Y])),,1)),--(İstatistik[1Y]=CP16))</f>
        <v>0</v>
      </c>
      <c r="DF16" s="244">
        <f ca="1">DE16/SUBTOTAL(3,İstatistik[1Y])</f>
        <v>0</v>
      </c>
      <c r="DG16" s="234">
        <f ca="1">SUMPRODUCT(SUBTOTAL(3,OFFSET(İstatistik[0Y],ROW(İstatistik[0Y])-MIN(ROW(İstatistik[0Y])),,1)),--(İstatistik[0Y]=CP16))</f>
        <v>0</v>
      </c>
      <c r="DH16" s="235">
        <f ca="1">DG16/SUBTOTAL(3,İstatistik[0Y])</f>
        <v>0</v>
      </c>
      <c r="DI16" s="236">
        <f ca="1">SUMPRODUCT(SUBTOTAL(3,OFFSET(İstatistik[2Y],ROW(İstatistik[2Y])-MIN(ROW(İstatistik[2Y])),,1)),--(İstatistik[2Y]=CP16))</f>
        <v>0</v>
      </c>
      <c r="DJ16" s="237">
        <f ca="1">DI16/SUBTOTAL(3,İstatistik[2Y])</f>
        <v>0</v>
      </c>
      <c r="DQ16" s="259"/>
      <c r="DR16" s="260"/>
      <c r="DS16" s="261"/>
      <c r="DU16" s="158">
        <v>12</v>
      </c>
      <c r="DV16" s="150">
        <f>MIN(İstatistik[12])</f>
        <v>29</v>
      </c>
      <c r="DW16" s="151">
        <f>MAX(İstatistik[12])</f>
        <v>29</v>
      </c>
      <c r="DX16" s="150">
        <f>MIN(Dinamik[12])</f>
        <v>2</v>
      </c>
      <c r="DY16" s="151">
        <f>MAX(Dinamik[12])</f>
        <v>2</v>
      </c>
      <c r="EG16" s="152"/>
      <c r="EH16" s="152"/>
      <c r="EI16" s="152"/>
      <c r="EJ16" s="152"/>
      <c r="EK16" s="152"/>
      <c r="FF16" s="263"/>
      <c r="FG16" s="288"/>
      <c r="FH16" s="289"/>
      <c r="IA16" s="1">
        <v>9</v>
      </c>
      <c r="IB16" s="1">
        <f>MIN(İstatistik[10])</f>
        <v>19</v>
      </c>
    </row>
    <row r="17" spans="1:236" ht="11.1" customHeight="1" thickBot="1" x14ac:dyDescent="0.3">
      <c r="F17" s="27" t="s">
        <v>6</v>
      </c>
      <c r="G17" s="28">
        <v>1</v>
      </c>
      <c r="H17" s="22">
        <v>0</v>
      </c>
      <c r="I17" s="22">
        <v>2</v>
      </c>
      <c r="J17" s="67"/>
      <c r="K17" s="67" t="s">
        <v>6</v>
      </c>
      <c r="L17" s="22">
        <v>1</v>
      </c>
      <c r="M17" s="28">
        <v>0</v>
      </c>
      <c r="N17" s="29">
        <v>2</v>
      </c>
      <c r="R17" s="122">
        <f t="shared" si="13"/>
        <v>64</v>
      </c>
      <c r="S17" s="80">
        <f t="shared" si="14"/>
        <v>19</v>
      </c>
      <c r="T17" s="123">
        <f t="shared" si="15"/>
        <v>17</v>
      </c>
      <c r="V17" s="130">
        <f>COUNTIFS(Veri_Girişi[1O],"&gt;="&amp;R17-2,Veri_Girişi[1O],"&lt;="&amp;R17+2,Veri_Girişi[0O],"&gt;="&amp;S17-2,Veri_Girişi[0O],"&lt;="&amp;S17+2,Veri_Girişi[2O],"&gt;="&amp;T17-2,Veri_Girişi[2O],"&lt;="&amp;T17+2)</f>
        <v>0</v>
      </c>
      <c r="W17" s="78">
        <f>IFERROR(ROUND((COUNTIFS(Veri_Girişi[1O],"&gt;="&amp;R17-2,Veri_Girişi[1O],"&lt;="&amp;R17+2,Veri_Girişi[0O],"&gt;="&amp;S17-2,Veri_Girişi[0O],"&lt;="&amp;S17+2,Veri_Girişi[2O],"&gt;="&amp;T17-2,Veri_Girişi[2O],"&lt;="&amp;T17+2,Veri_Girişi[S],1))*100/V17,0),0)</f>
        <v>0</v>
      </c>
      <c r="X17" s="78">
        <f>IFERROR(ROUND((COUNTIFS(Veri_Girişi[1O],"&gt;="&amp;R17-2,Veri_Girişi[1O],"&lt;="&amp;R17+2,Veri_Girişi[0O],"&gt;="&amp;S17-2,Veri_Girişi[0O],"&lt;="&amp;S17+2,Veri_Girişi[2O],"&gt;="&amp;T17-2,Veri_Girişi[2O],"&lt;="&amp;T17+2,Veri_Girişi[S],0))*100/V17,0),0)</f>
        <v>0</v>
      </c>
      <c r="Y17" s="131">
        <f>IFERROR(ROUND((COUNTIFS(Veri_Girişi[1O],"&gt;="&amp;R17-2,Veri_Girişi[1O],"&lt;="&amp;R17+2,Veri_Girişi[0O],"&gt;="&amp;S17-2,Veri_Girişi[0O],"&lt;="&amp;S17+2,Veri_Girişi[2O],"&gt;="&amp;T17-2,Veri_Girişi[2O],"&lt;="&amp;T17+2,Veri_Girişi[S],2))*100/V17,0),0)</f>
        <v>0</v>
      </c>
      <c r="AA17" s="122">
        <f t="shared" si="16"/>
        <v>4</v>
      </c>
      <c r="AB17" s="80">
        <f t="shared" si="17"/>
        <v>38</v>
      </c>
      <c r="AC17" s="123">
        <f t="shared" si="18"/>
        <v>39</v>
      </c>
      <c r="AE17" s="130">
        <f>COUNTIFS(Veri_Girişi[1S],"&gt;="&amp;AA17-2,Veri_Girişi[1S],"&lt;="&amp;AA17+2,Veri_Girişi[0S],"&gt;="&amp;AB17-2,Veri_Girişi[0S],"&lt;="&amp;AB17+2,Veri_Girişi[2S],"&gt;="&amp;AC17-2,Veri_Girişi[2S],"&lt;="&amp;AC17+2)</f>
        <v>0</v>
      </c>
      <c r="AF17" s="78">
        <f>IFERROR(ROUND((COUNTIFS(Veri_Girişi[1S],"&gt;="&amp;AA17-2,Veri_Girişi[1S],"&lt;="&amp;AA17+2,Veri_Girişi[0S],"&gt;="&amp;AB17-2,Veri_Girişi[0S],"&lt;="&amp;AB17+2,Veri_Girişi[2S],"&gt;="&amp;AC17-2,Veri_Girişi[2S],"&lt;="&amp;AC17+2,Veri_Girişi[S],1))*100/AE17,0),0)</f>
        <v>0</v>
      </c>
      <c r="AG17" s="78">
        <f>IFERROR(ROUND((COUNTIFS(Veri_Girişi[1S],"&gt;="&amp;AA17-2,Veri_Girişi[1S],"&lt;="&amp;AA17+2,Veri_Girişi[0S],"&gt;="&amp;AB17-2,Veri_Girişi[0S],"&lt;="&amp;AB17+2,Veri_Girişi[2S],"&gt;="&amp;AC17-2,Veri_Girişi[2S],"&lt;="&amp;AC17+2,Veri_Girişi[S],0))*100/AE17,0),0)</f>
        <v>0</v>
      </c>
      <c r="AH17" s="131">
        <f>IFERROR(ROUND((COUNTIFS(Veri_Girişi[1S],"&gt;="&amp;AA17-2,Veri_Girişi[1S],"&lt;="&amp;AA17+2,Veri_Girişi[0S],"&gt;="&amp;AB17-2,Veri_Girişi[0S],"&lt;="&amp;AB17+2,Veri_Girişi[2S],"&gt;="&amp;AC17-2,Veri_Girişi[2S],"&lt;="&amp;AC17+2,Veri_Girişi[S],2))*100/AE17,0),0)</f>
        <v>0</v>
      </c>
      <c r="AJ17" s="122" t="str">
        <f t="shared" si="19"/>
        <v>F</v>
      </c>
      <c r="AK17" s="80" t="str">
        <f t="shared" si="20"/>
        <v>P</v>
      </c>
      <c r="AL17" s="123" t="str">
        <f t="shared" si="21"/>
        <v>S</v>
      </c>
      <c r="AT17" s="108">
        <v>15</v>
      </c>
      <c r="AU17" s="97" t="s">
        <v>116</v>
      </c>
      <c r="AV17" s="109" t="s">
        <v>119</v>
      </c>
      <c r="AW17" s="110">
        <v>1</v>
      </c>
      <c r="AX17" s="111">
        <v>17</v>
      </c>
      <c r="AY17" s="112">
        <v>22</v>
      </c>
      <c r="AZ17" s="113">
        <v>61</v>
      </c>
      <c r="BA17" s="110">
        <f t="shared" si="1"/>
        <v>17</v>
      </c>
      <c r="BB17" s="111" t="str">
        <f t="shared" si="2"/>
        <v>S</v>
      </c>
      <c r="BC17" s="112" t="str">
        <f t="shared" si="3"/>
        <v>P</v>
      </c>
      <c r="BD17" s="113" t="str">
        <f t="shared" si="4"/>
        <v>F</v>
      </c>
      <c r="BE17" s="110" t="str">
        <f t="shared" si="5"/>
        <v>S</v>
      </c>
      <c r="BF17" s="111">
        <f t="shared" si="6"/>
        <v>39</v>
      </c>
      <c r="BG17" s="112">
        <f t="shared" si="7"/>
        <v>32</v>
      </c>
      <c r="BH17" s="113">
        <f t="shared" si="8"/>
        <v>5</v>
      </c>
      <c r="BI17" s="114">
        <f>IF(AW17=1,BF17,IF(AW17=0,BG17,IF(AW17=2,BH17,"")))</f>
        <v>39</v>
      </c>
      <c r="CJ17" s="238">
        <f ca="1">SUMPRODUCT(SUBTOTAL(3,OFFSET(İstatistik[1G],ROW(İstatistik[1G])-MIN(ROW(İstatistik[1G])),,1)),--(İstatistik[1G]=CP17))</f>
        <v>0</v>
      </c>
      <c r="CK17" s="239">
        <f ca="1">CJ17/SUBTOTAL(3,İstatistik[1G])</f>
        <v>0</v>
      </c>
      <c r="CL17" s="240">
        <f ca="1">SUMPRODUCT(SUBTOTAL(3,OFFSET(İstatistik[0G],ROW(İstatistik[0G])-MIN(ROW(İstatistik[0G])),,1)),--(İstatistik[0G]=CP17))</f>
        <v>0</v>
      </c>
      <c r="CM17" s="241">
        <f ca="1">CL17/SUBTOTAL(3,İstatistik[0G])</f>
        <v>0</v>
      </c>
      <c r="CN17" s="242">
        <f ca="1">SUMPRODUCT(SUBTOTAL(3,OFFSET(İstatistik[2G],ROW(İstatistik[2G])-MIN(ROW(İstatistik[2G])),,1)),--(İstatistik[2G]=CP17))</f>
        <v>0</v>
      </c>
      <c r="CO17" s="243">
        <f ca="1">CN17/SUBTOTAL(3,İstatistik[2G])</f>
        <v>0</v>
      </c>
      <c r="CP17" s="87">
        <v>13</v>
      </c>
      <c r="CQ17" s="238">
        <f ca="1">SUMPRODUCT(SUBTOTAL(3,OFFSET(İstatistik[FG],ROW(İstatistik[FG])-MIN(ROW(İstatistik[FG])),,1)),--(İstatistik[FG]=CP17))</f>
        <v>0</v>
      </c>
      <c r="CR17" s="239">
        <f ca="1">CQ17/SUBTOTAL(3,İstatistik[FG])</f>
        <v>0</v>
      </c>
      <c r="CS17" s="240">
        <f ca="1">SUMPRODUCT(SUBTOTAL(3,OFFSET(İstatistik[PG],ROW(İstatistik[PG])-MIN(ROW(İstatistik[PG])),,1)),--(İstatistik[PG]=CP17))</f>
        <v>0</v>
      </c>
      <c r="CT17" s="241">
        <f ca="1">CS17/SUBTOTAL(3,İstatistik[PG])</f>
        <v>0</v>
      </c>
      <c r="CU17" s="242">
        <f ca="1">SUMPRODUCT(SUBTOTAL(3,OFFSET(İstatistik[SG],ROW(İstatistik[SG])-MIN(ROW(İstatistik[SG])),,1)),--(İstatistik[SG]=CP17))</f>
        <v>0</v>
      </c>
      <c r="CV17" s="243">
        <f ca="1">CU17/SUBTOTAL(3,İstatistik[SG])</f>
        <v>0</v>
      </c>
      <c r="CW17" s="87">
        <v>13</v>
      </c>
      <c r="CX17" s="238">
        <f ca="1">SUMPRODUCT(SUBTOTAL(3,OFFSET(İstatistik[1FG],ROW(İstatistik[1FG])-MIN(ROW(İstatistik[1FG])),,1)),--(İstatistik[1FG]=CP17))</f>
        <v>0</v>
      </c>
      <c r="CY17" s="239">
        <f ca="1">CX17/SUBTOTAL(3,İstatistik[FG])</f>
        <v>0</v>
      </c>
      <c r="CZ17" s="240">
        <f ca="1">SUMPRODUCT(SUBTOTAL(3,OFFSET(İstatistik[0FG],ROW(İstatistik[0FG])-MIN(ROW(İstatistik[0FG])),,1)),--(İstatistik[0FG]=CP17))</f>
        <v>0</v>
      </c>
      <c r="DA17" s="241">
        <f ca="1">CZ17/SUBTOTAL(3,İstatistik[PG])</f>
        <v>0</v>
      </c>
      <c r="DB17" s="242">
        <f ca="1">SUMPRODUCT(SUBTOTAL(3,OFFSET(İstatistik[2FG],ROW(İstatistik[2FG])-MIN(ROW(İstatistik[2FG])),,1)),--(İstatistik[2FG]=CP17))</f>
        <v>0</v>
      </c>
      <c r="DC17" s="243">
        <f ca="1">DB17/SUBTOTAL(3,İstatistik[SG])</f>
        <v>0</v>
      </c>
      <c r="DD17" s="87">
        <v>13</v>
      </c>
      <c r="DE17" s="238">
        <f ca="1">SUMPRODUCT(SUBTOTAL(3,OFFSET(İstatistik[1Y],ROW(İstatistik[1Y])-MIN(ROW(İstatistik[1Y])),,1)),--(İstatistik[1Y]=CP17))</f>
        <v>0</v>
      </c>
      <c r="DF17" s="239">
        <f ca="1">DE17/SUBTOTAL(3,İstatistik[1Y])</f>
        <v>0</v>
      </c>
      <c r="DG17" s="240">
        <f ca="1">SUMPRODUCT(SUBTOTAL(3,OFFSET(İstatistik[0Y],ROW(İstatistik[0Y])-MIN(ROW(İstatistik[0Y])),,1)),--(İstatistik[0Y]=CP17))</f>
        <v>0</v>
      </c>
      <c r="DH17" s="241">
        <f ca="1">DG17/SUBTOTAL(3,İstatistik[0Y])</f>
        <v>0</v>
      </c>
      <c r="DI17" s="242">
        <f ca="1">SUMPRODUCT(SUBTOTAL(3,OFFSET(İstatistik[2Y],ROW(İstatistik[2Y])-MIN(ROW(İstatistik[2Y])),,1)),--(İstatistik[2Y]=CP17))</f>
        <v>0</v>
      </c>
      <c r="DJ17" s="243">
        <f ca="1">DI17/SUBTOTAL(3,İstatistik[2Y])</f>
        <v>0</v>
      </c>
      <c r="DU17" s="158">
        <v>13</v>
      </c>
      <c r="DV17" s="148">
        <f>MIN(İstatistik[13])</f>
        <v>32</v>
      </c>
      <c r="DW17" s="149">
        <f>MAX(İstatistik[13])</f>
        <v>32</v>
      </c>
      <c r="DX17" s="148">
        <f>MIN(Dinamik[13])</f>
        <v>1</v>
      </c>
      <c r="DY17" s="149">
        <f>MAX(Dinamik[13])</f>
        <v>1</v>
      </c>
      <c r="EG17" s="152"/>
      <c r="EH17" s="152"/>
      <c r="EI17" s="152"/>
      <c r="EJ17" s="152"/>
      <c r="EK17" s="152"/>
      <c r="IA17" s="1">
        <v>10</v>
      </c>
      <c r="IB17" s="1">
        <f>MIN(İstatistik[11])</f>
        <v>29</v>
      </c>
    </row>
    <row r="18" spans="1:236" ht="11.1" customHeight="1" thickBot="1" x14ac:dyDescent="0.3">
      <c r="A18" s="256" t="s">
        <v>118</v>
      </c>
      <c r="B18" s="257"/>
      <c r="C18" s="258"/>
      <c r="F18" s="13">
        <f>COUNTIFS(Veri_Girişi[Ev Sahibi],E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+2)</f>
        <v>0</v>
      </c>
      <c r="G18" s="11">
        <f>COUNTIFS(Veri_Girişi[Ev Sahibi],E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,Veri_Girişi[S],1)</f>
        <v>0</v>
      </c>
      <c r="H18" s="11">
        <f>COUNTIFS(Veri_Girişi[Ev Sahibi],E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,Veri_Girişi[S],0)</f>
        <v>0</v>
      </c>
      <c r="I18" s="12">
        <f>COUNTIFS(Veri_Girişi[Ev Sahibi],E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,Veri_Girişi[S],2)</f>
        <v>0</v>
      </c>
      <c r="K18" s="13">
        <f>COUNTIFS(Veri_Girişi[Deplasman],K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+2)</f>
        <v>0</v>
      </c>
      <c r="L18" s="11">
        <f>COUNTIFS(Veri_Girişi[Deplasman],K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,Veri_Girişi[S],1)</f>
        <v>0</v>
      </c>
      <c r="M18" s="11">
        <f>COUNTIFS(Veri_Girişi[Deplasman],K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,Veri_Girişi[S],0)</f>
        <v>0</v>
      </c>
      <c r="N18" s="12">
        <f>COUNTIFS(Veri_Girişi[Deplasman],K3,Veri_Girişi[1S],"&gt;="&amp;VLOOKUP(J4,AT3:BH17,13,FALSE)-2,Veri_Girişi[1S],"&lt;="&amp;VLOOKUP(J4,AT3:BH17,13,FALSE)+2,Veri_Girişi[0S],"&gt;="&amp;VLOOKUP(J4,AT3:BH17,14,FALSE)-2,Veri_Girişi[0S],"&lt;="&amp;VLOOKUP(J4,AT3:BH17,14,FALSE)+2,Veri_Girişi[2S],"&gt;="&amp;VLOOKUP(J4,AT3:BH17,15,FALSE)-2,Veri_Girişi[2S],"&lt;="&amp;VLOOKUP(J4,AT3:BH17,15,FALSE)+2,Veri_Girişi[S],2)</f>
        <v>0</v>
      </c>
      <c r="R18" s="122">
        <f t="shared" si="13"/>
        <v>44</v>
      </c>
      <c r="S18" s="80">
        <f t="shared" si="14"/>
        <v>27</v>
      </c>
      <c r="T18" s="123">
        <f t="shared" si="15"/>
        <v>29</v>
      </c>
      <c r="V18" s="130">
        <f>COUNTIFS(Veri_Girişi[1O],"&gt;="&amp;R18-2,Veri_Girişi[1O],"&lt;="&amp;R18+2,Veri_Girişi[0O],"&gt;="&amp;S18-2,Veri_Girişi[0O],"&lt;="&amp;S18+2,Veri_Girişi[2O],"&gt;="&amp;T18-2,Veri_Girişi[2O],"&lt;="&amp;T18+2)</f>
        <v>0</v>
      </c>
      <c r="W18" s="78">
        <f>IFERROR(ROUND((COUNTIFS(Veri_Girişi[1O],"&gt;="&amp;R18-2,Veri_Girişi[1O],"&lt;="&amp;R18+2,Veri_Girişi[0O],"&gt;="&amp;S18-2,Veri_Girişi[0O],"&lt;="&amp;S18+2,Veri_Girişi[2O],"&gt;="&amp;T18-2,Veri_Girişi[2O],"&lt;="&amp;T18+2,Veri_Girişi[S],1))*100/V18,0),0)</f>
        <v>0</v>
      </c>
      <c r="X18" s="78">
        <f>IFERROR(ROUND((COUNTIFS(Veri_Girişi[1O],"&gt;="&amp;R18-2,Veri_Girişi[1O],"&lt;="&amp;R18+2,Veri_Girişi[0O],"&gt;="&amp;S18-2,Veri_Girişi[0O],"&lt;="&amp;S18+2,Veri_Girişi[2O],"&gt;="&amp;T18-2,Veri_Girişi[2O],"&lt;="&amp;T18+2,Veri_Girişi[S],0))*100/V18,0),0)</f>
        <v>0</v>
      </c>
      <c r="Y18" s="131">
        <f>IFERROR(ROUND((COUNTIFS(Veri_Girişi[1O],"&gt;="&amp;R18-2,Veri_Girişi[1O],"&lt;="&amp;R18+2,Veri_Girişi[0O],"&gt;="&amp;S18-2,Veri_Girişi[0O],"&lt;="&amp;S18+2,Veri_Girişi[2O],"&gt;="&amp;T18-2,Veri_Girişi[2O],"&lt;="&amp;T18+2,Veri_Girişi[S],2))*100/V18,0),0)</f>
        <v>0</v>
      </c>
      <c r="AA18" s="122">
        <f t="shared" si="16"/>
        <v>12</v>
      </c>
      <c r="AB18" s="80">
        <f t="shared" si="17"/>
        <v>24</v>
      </c>
      <c r="AC18" s="123">
        <f t="shared" si="18"/>
        <v>20</v>
      </c>
      <c r="AE18" s="130">
        <f>COUNTIFS(Veri_Girişi[1S],"&gt;="&amp;AA18-2,Veri_Girişi[1S],"&lt;="&amp;AA18+2,Veri_Girişi[0S],"&gt;="&amp;AB18-2,Veri_Girişi[0S],"&lt;="&amp;AB18+2,Veri_Girişi[2S],"&gt;="&amp;AC18-2,Veri_Girişi[2S],"&lt;="&amp;AC18+2)</f>
        <v>0</v>
      </c>
      <c r="AF18" s="78">
        <f>IFERROR(ROUND((COUNTIFS(Veri_Girişi[1S],"&gt;="&amp;AA18-2,Veri_Girişi[1S],"&lt;="&amp;AA18+2,Veri_Girişi[0S],"&gt;="&amp;AB18-2,Veri_Girişi[0S],"&lt;="&amp;AB18+2,Veri_Girişi[2S],"&gt;="&amp;AC18-2,Veri_Girişi[2S],"&lt;="&amp;AC18+2,Veri_Girişi[S],1))*100/AE18,0),0)</f>
        <v>0</v>
      </c>
      <c r="AG18" s="78">
        <f>IFERROR(ROUND((COUNTIFS(Veri_Girişi[1S],"&gt;="&amp;AA18-2,Veri_Girişi[1S],"&lt;="&amp;AA18+2,Veri_Girişi[0S],"&gt;="&amp;AB18-2,Veri_Girişi[0S],"&lt;="&amp;AB18+2,Veri_Girişi[2S],"&gt;="&amp;AC18-2,Veri_Girişi[2S],"&lt;="&amp;AC18+2,Veri_Girişi[S],0))*100/AE18,0),0)</f>
        <v>0</v>
      </c>
      <c r="AH18" s="131">
        <f>IFERROR(ROUND((COUNTIFS(Veri_Girişi[1S],"&gt;="&amp;AA18-2,Veri_Girişi[1S],"&lt;="&amp;AA18+2,Veri_Girişi[0S],"&gt;="&amp;AB18-2,Veri_Girişi[0S],"&lt;="&amp;AB18+2,Veri_Girişi[2S],"&gt;="&amp;AC18-2,Veri_Girişi[2S],"&lt;="&amp;AC18+2,Veri_Girişi[S],2))*100/AE18,0),0)</f>
        <v>0</v>
      </c>
      <c r="AJ18" s="122" t="str">
        <f t="shared" si="19"/>
        <v>F</v>
      </c>
      <c r="AK18" s="80" t="str">
        <f t="shared" si="20"/>
        <v>S</v>
      </c>
      <c r="AL18" s="123" t="str">
        <f t="shared" si="21"/>
        <v>P</v>
      </c>
      <c r="AP18" s="256" t="s">
        <v>118</v>
      </c>
      <c r="AQ18" s="257"/>
      <c r="AR18" s="258"/>
      <c r="CB18" s="256" t="s">
        <v>118</v>
      </c>
      <c r="CC18" s="257"/>
      <c r="CD18" s="258"/>
      <c r="CJ18" s="232">
        <f ca="1">SUMPRODUCT(SUBTOTAL(3,OFFSET(İstatistik[1G],ROW(İstatistik[1G])-MIN(ROW(İstatistik[1G])),,1)),--(İstatistik[1G]=CP18))</f>
        <v>0</v>
      </c>
      <c r="CK18" s="244">
        <f ca="1">CJ18/SUBTOTAL(3,İstatistik[1G])</f>
        <v>0</v>
      </c>
      <c r="CL18" s="234">
        <f ca="1">SUMPRODUCT(SUBTOTAL(3,OFFSET(İstatistik[0G],ROW(İstatistik[0G])-MIN(ROW(İstatistik[0G])),,1)),--(İstatistik[0G]=CP18))</f>
        <v>0</v>
      </c>
      <c r="CM18" s="235">
        <f ca="1">CL18/SUBTOTAL(3,İstatistik[0G])</f>
        <v>0</v>
      </c>
      <c r="CN18" s="236">
        <f ca="1">SUMPRODUCT(SUBTOTAL(3,OFFSET(İstatistik[2G],ROW(İstatistik[2G])-MIN(ROW(İstatistik[2G])),,1)),--(İstatistik[2G]=CP18))</f>
        <v>0</v>
      </c>
      <c r="CO18" s="237">
        <f ca="1">CN18/SUBTOTAL(3,İstatistik[2G])</f>
        <v>0</v>
      </c>
      <c r="CP18" s="87">
        <v>14</v>
      </c>
      <c r="CQ18" s="232">
        <f ca="1">SUMPRODUCT(SUBTOTAL(3,OFFSET(İstatistik[FG],ROW(İstatistik[FG])-MIN(ROW(İstatistik[FG])),,1)),--(İstatistik[FG]=CP18))</f>
        <v>0</v>
      </c>
      <c r="CR18" s="244">
        <f ca="1">CQ18/SUBTOTAL(3,İstatistik[FG])</f>
        <v>0</v>
      </c>
      <c r="CS18" s="234">
        <f ca="1">SUMPRODUCT(SUBTOTAL(3,OFFSET(İstatistik[PG],ROW(İstatistik[PG])-MIN(ROW(İstatistik[PG])),,1)),--(İstatistik[PG]=CP18))</f>
        <v>0</v>
      </c>
      <c r="CT18" s="235">
        <f ca="1">CS18/SUBTOTAL(3,İstatistik[PG])</f>
        <v>0</v>
      </c>
      <c r="CU18" s="236">
        <f ca="1">SUMPRODUCT(SUBTOTAL(3,OFFSET(İstatistik[SG],ROW(İstatistik[SG])-MIN(ROW(İstatistik[SG])),,1)),--(İstatistik[SG]=CP18))</f>
        <v>0</v>
      </c>
      <c r="CV18" s="237">
        <f ca="1">CU18/SUBTOTAL(3,İstatistik[SG])</f>
        <v>0</v>
      </c>
      <c r="CW18" s="87">
        <v>14</v>
      </c>
      <c r="CX18" s="232">
        <f ca="1">SUMPRODUCT(SUBTOTAL(3,OFFSET(İstatistik[1FG],ROW(İstatistik[1FG])-MIN(ROW(İstatistik[1FG])),,1)),--(İstatistik[1FG]=CP18))</f>
        <v>0</v>
      </c>
      <c r="CY18" s="244">
        <f ca="1">CX18/SUBTOTAL(3,İstatistik[FG])</f>
        <v>0</v>
      </c>
      <c r="CZ18" s="234">
        <f ca="1">SUMPRODUCT(SUBTOTAL(3,OFFSET(İstatistik[0FG],ROW(İstatistik[0FG])-MIN(ROW(İstatistik[0FG])),,1)),--(İstatistik[0FG]=CP18))</f>
        <v>0</v>
      </c>
      <c r="DA18" s="235">
        <f ca="1">CZ18/SUBTOTAL(3,İstatistik[PG])</f>
        <v>0</v>
      </c>
      <c r="DB18" s="236">
        <f ca="1">SUMPRODUCT(SUBTOTAL(3,OFFSET(İstatistik[2FG],ROW(İstatistik[2FG])-MIN(ROW(İstatistik[2FG])),,1)),--(İstatistik[2FG]=CP18))</f>
        <v>0</v>
      </c>
      <c r="DC18" s="237">
        <f ca="1">DB18/SUBTOTAL(3,İstatistik[SG])</f>
        <v>0</v>
      </c>
      <c r="DD18" s="87">
        <v>14</v>
      </c>
      <c r="DE18" s="232">
        <f ca="1">SUMPRODUCT(SUBTOTAL(3,OFFSET(İstatistik[1Y],ROW(İstatistik[1Y])-MIN(ROW(İstatistik[1Y])),,1)),--(İstatistik[1Y]=CP18))</f>
        <v>0</v>
      </c>
      <c r="DF18" s="244">
        <f ca="1">DE18/SUBTOTAL(3,İstatistik[1Y])</f>
        <v>0</v>
      </c>
      <c r="DG18" s="234">
        <f ca="1">SUMPRODUCT(SUBTOTAL(3,OFFSET(İstatistik[0Y],ROW(İstatistik[0Y])-MIN(ROW(İstatistik[0Y])),,1)),--(İstatistik[0Y]=CP18))</f>
        <v>0</v>
      </c>
      <c r="DH18" s="235">
        <f ca="1">DG18/SUBTOTAL(3,İstatistik[0Y])</f>
        <v>0</v>
      </c>
      <c r="DI18" s="236">
        <f ca="1">SUMPRODUCT(SUBTOTAL(3,OFFSET(İstatistik[2Y],ROW(İstatistik[2Y])-MIN(ROW(İstatistik[2Y])),,1)),--(İstatistik[2Y]=CP18))</f>
        <v>0</v>
      </c>
      <c r="DJ18" s="237">
        <f ca="1">DI18/SUBTOTAL(3,İstatistik[2Y])</f>
        <v>0</v>
      </c>
      <c r="DQ18" s="256" t="s">
        <v>118</v>
      </c>
      <c r="DR18" s="257"/>
      <c r="DS18" s="258"/>
      <c r="DU18" s="158">
        <v>14</v>
      </c>
      <c r="DV18" s="150">
        <f>MIN(İstatistik[14])</f>
        <v>37</v>
      </c>
      <c r="DW18" s="151">
        <f>MAX(İstatistik[14])</f>
        <v>37</v>
      </c>
      <c r="DX18" s="150">
        <f>MIN(Dinamik[14])</f>
        <v>1</v>
      </c>
      <c r="DY18" s="151">
        <f>MAX(Dinamik[14])</f>
        <v>1</v>
      </c>
      <c r="EG18" s="152"/>
      <c r="EH18" s="152"/>
      <c r="EI18" s="152"/>
      <c r="EJ18" s="152"/>
      <c r="EK18" s="152"/>
      <c r="FF18" s="256"/>
      <c r="FG18" s="257"/>
      <c r="FH18" s="258"/>
      <c r="IA18" s="1">
        <v>11</v>
      </c>
      <c r="IB18" s="1">
        <f>MIN(İstatistik[12])</f>
        <v>29</v>
      </c>
    </row>
    <row r="19" spans="1:236" ht="11.1" customHeight="1" thickBot="1" x14ac:dyDescent="0.3">
      <c r="A19" s="259"/>
      <c r="B19" s="260"/>
      <c r="C19" s="261"/>
      <c r="F19" s="68" t="s">
        <v>64</v>
      </c>
      <c r="G19" s="84">
        <f>IFERROR(ROUND((G18*100)/$F$18,0),0)</f>
        <v>0</v>
      </c>
      <c r="H19" s="84">
        <f>IFERROR(ROUND((H18*100)/$F$18,0),0)</f>
        <v>0</v>
      </c>
      <c r="I19" s="85">
        <f>IFERROR(ROUND((I18*100)/$F$18,0),0)</f>
        <v>0</v>
      </c>
      <c r="K19" s="68" t="s">
        <v>64</v>
      </c>
      <c r="L19" s="84">
        <f>IFERROR(ROUND((L18*100)/$K$18,0),0)</f>
        <v>0</v>
      </c>
      <c r="M19" s="84">
        <f>IFERROR(ROUND((M18*100)/$K$18,0),0)</f>
        <v>0</v>
      </c>
      <c r="N19" s="85">
        <f>IFERROR(ROUND((N18*100)/$K$18,0),0)</f>
        <v>0</v>
      </c>
      <c r="R19" s="124">
        <f t="shared" si="13"/>
        <v>17</v>
      </c>
      <c r="S19" s="125">
        <f t="shared" si="14"/>
        <v>22</v>
      </c>
      <c r="T19" s="126">
        <f t="shared" si="15"/>
        <v>61</v>
      </c>
      <c r="V19" s="132">
        <f>COUNTIFS(Veri_Girişi[1O],"&gt;="&amp;R19-2,Veri_Girişi[1O],"&lt;="&amp;R19+2,Veri_Girişi[0O],"&gt;="&amp;S19-2,Veri_Girişi[0O],"&lt;="&amp;S19+2,Veri_Girişi[2O],"&gt;="&amp;T19-2,Veri_Girişi[2O],"&lt;="&amp;T19+2)</f>
        <v>1</v>
      </c>
      <c r="W19" s="133">
        <f>IFERROR(ROUND((COUNTIFS(Veri_Girişi[1O],"&gt;="&amp;R19-2,Veri_Girişi[1O],"&lt;="&amp;R19+2,Veri_Girişi[0O],"&gt;="&amp;S19-2,Veri_Girişi[0O],"&lt;="&amp;S19+2,Veri_Girişi[2O],"&gt;="&amp;T19-2,Veri_Girişi[2O],"&lt;="&amp;T19+2,Veri_Girişi[S],1))*100/V19,0),0)</f>
        <v>0</v>
      </c>
      <c r="X19" s="133">
        <f>IFERROR(ROUND((COUNTIFS(Veri_Girişi[1O],"&gt;="&amp;R19-2,Veri_Girişi[1O],"&lt;="&amp;R19+2,Veri_Girişi[0O],"&gt;="&amp;S19-2,Veri_Girişi[0O],"&lt;="&amp;S19+2,Veri_Girişi[2O],"&gt;="&amp;T19-2,Veri_Girişi[2O],"&lt;="&amp;T19+2,Veri_Girişi[S],0))*100/V19,0),0)</f>
        <v>0</v>
      </c>
      <c r="Y19" s="134">
        <f>IFERROR(ROUND((COUNTIFS(Veri_Girişi[1O],"&gt;="&amp;R19-2,Veri_Girişi[1O],"&lt;="&amp;R19+2,Veri_Girişi[0O],"&gt;="&amp;S19-2,Veri_Girişi[0O],"&lt;="&amp;S19+2,Veri_Girişi[2O],"&gt;="&amp;T19-2,Veri_Girişi[2O],"&lt;="&amp;T19+2,Veri_Girişi[S],2))*100/V19,0),0)</f>
        <v>100</v>
      </c>
      <c r="AA19" s="124">
        <f t="shared" si="16"/>
        <v>39</v>
      </c>
      <c r="AB19" s="125">
        <f t="shared" si="17"/>
        <v>32</v>
      </c>
      <c r="AC19" s="126">
        <f t="shared" si="18"/>
        <v>5</v>
      </c>
      <c r="AE19" s="132">
        <f>COUNTIFS(Veri_Girişi[1S],"&gt;="&amp;AA19-2,Veri_Girişi[1S],"&lt;="&amp;AA19+2,Veri_Girişi[0S],"&gt;="&amp;AB19-2,Veri_Girişi[0S],"&lt;="&amp;AB19+2,Veri_Girişi[2S],"&gt;="&amp;AC19-2,Veri_Girişi[2S],"&lt;="&amp;AC19+2)</f>
        <v>0</v>
      </c>
      <c r="AF19" s="133">
        <f>IFERROR(ROUND((COUNTIFS(Veri_Girişi[1S],"&gt;="&amp;AA19-2,Veri_Girişi[1S],"&lt;="&amp;AA19+2,Veri_Girişi[0S],"&gt;="&amp;AB19-2,Veri_Girişi[0S],"&lt;="&amp;AB19+2,Veri_Girişi[2S],"&gt;="&amp;AC19-2,Veri_Girişi[2S],"&lt;="&amp;AC19+2,Veri_Girişi[S],1))*100/AE19,0),0)</f>
        <v>0</v>
      </c>
      <c r="AG19" s="133">
        <f>IFERROR(ROUND((COUNTIFS(Veri_Girişi[1S],"&gt;="&amp;AA19-2,Veri_Girişi[1S],"&lt;="&amp;AA19+2,Veri_Girişi[0S],"&gt;="&amp;AB19-2,Veri_Girişi[0S],"&lt;="&amp;AB19+2,Veri_Girişi[2S],"&gt;="&amp;AC19-2,Veri_Girişi[2S],"&lt;="&amp;AC19+2,Veri_Girişi[S],0))*100/AE19,0),0)</f>
        <v>0</v>
      </c>
      <c r="AH19" s="134">
        <f>IFERROR(ROUND((COUNTIFS(Veri_Girişi[1S],"&gt;="&amp;AA19-2,Veri_Girişi[1S],"&lt;="&amp;AA19+2,Veri_Girişi[0S],"&gt;="&amp;AB19-2,Veri_Girişi[0S],"&lt;="&amp;AB19+2,Veri_Girişi[2S],"&gt;="&amp;AC19-2,Veri_Girişi[2S],"&lt;="&amp;AC19+2,Veri_Girişi[S],2))*100/AE19,0),0)</f>
        <v>0</v>
      </c>
      <c r="AJ19" s="124" t="str">
        <f t="shared" si="19"/>
        <v>S</v>
      </c>
      <c r="AK19" s="125" t="str">
        <f t="shared" si="20"/>
        <v>P</v>
      </c>
      <c r="AL19" s="126" t="str">
        <f t="shared" si="21"/>
        <v>F</v>
      </c>
      <c r="AP19" s="259"/>
      <c r="AQ19" s="260"/>
      <c r="AR19" s="261"/>
      <c r="CB19" s="259"/>
      <c r="CC19" s="260"/>
      <c r="CD19" s="261"/>
      <c r="CJ19" s="238">
        <f ca="1">SUMPRODUCT(SUBTOTAL(3,OFFSET(İstatistik[1G],ROW(İstatistik[1G])-MIN(ROW(İstatistik[1G])),,1)),--(İstatistik[1G]=CP19))</f>
        <v>0</v>
      </c>
      <c r="CK19" s="239">
        <f ca="1">CJ19/SUBTOTAL(3,İstatistik[1G])</f>
        <v>0</v>
      </c>
      <c r="CL19" s="240">
        <f ca="1">SUMPRODUCT(SUBTOTAL(3,OFFSET(İstatistik[0G],ROW(İstatistik[0G])-MIN(ROW(İstatistik[0G])),,1)),--(İstatistik[0G]=CP19))</f>
        <v>0</v>
      </c>
      <c r="CM19" s="241">
        <f ca="1">CL19/SUBTOTAL(3,İstatistik[0G])</f>
        <v>0</v>
      </c>
      <c r="CN19" s="242">
        <f ca="1">SUMPRODUCT(SUBTOTAL(3,OFFSET(İstatistik[2G],ROW(İstatistik[2G])-MIN(ROW(İstatistik[2G])),,1)),--(İstatistik[2G]=CP19))</f>
        <v>0</v>
      </c>
      <c r="CO19" s="243">
        <f ca="1">CN19/SUBTOTAL(3,İstatistik[2G])</f>
        <v>0</v>
      </c>
      <c r="CP19" s="87">
        <v>15</v>
      </c>
      <c r="CQ19" s="238">
        <f ca="1">SUMPRODUCT(SUBTOTAL(3,OFFSET(İstatistik[FG],ROW(İstatistik[FG])-MIN(ROW(İstatistik[FG])),,1)),--(İstatistik[FG]=CP19))</f>
        <v>0</v>
      </c>
      <c r="CR19" s="239">
        <f ca="1">CQ19/SUBTOTAL(3,İstatistik[FG])</f>
        <v>0</v>
      </c>
      <c r="CS19" s="240">
        <f ca="1">SUMPRODUCT(SUBTOTAL(3,OFFSET(İstatistik[PG],ROW(İstatistik[PG])-MIN(ROW(İstatistik[PG])),,1)),--(İstatistik[PG]=CP19))</f>
        <v>0</v>
      </c>
      <c r="CT19" s="241">
        <f ca="1">CS19/SUBTOTAL(3,İstatistik[PG])</f>
        <v>0</v>
      </c>
      <c r="CU19" s="242">
        <f ca="1">SUMPRODUCT(SUBTOTAL(3,OFFSET(İstatistik[SG],ROW(İstatistik[SG])-MIN(ROW(İstatistik[SG])),,1)),--(İstatistik[SG]=CP19))</f>
        <v>0</v>
      </c>
      <c r="CV19" s="243">
        <f ca="1">CU19/SUBTOTAL(3,İstatistik[SG])</f>
        <v>0</v>
      </c>
      <c r="CW19" s="87">
        <v>15</v>
      </c>
      <c r="CX19" s="238">
        <f ca="1">SUMPRODUCT(SUBTOTAL(3,OFFSET(İstatistik[1FG],ROW(İstatistik[1FG])-MIN(ROW(İstatistik[1FG])),,1)),--(İstatistik[1FG]=CP19))</f>
        <v>0</v>
      </c>
      <c r="CY19" s="239">
        <f ca="1">CX19/SUBTOTAL(3,İstatistik[FG])</f>
        <v>0</v>
      </c>
      <c r="CZ19" s="240">
        <f ca="1">SUMPRODUCT(SUBTOTAL(3,OFFSET(İstatistik[0FG],ROW(İstatistik[0FG])-MIN(ROW(İstatistik[0FG])),,1)),--(İstatistik[0FG]=CP19))</f>
        <v>0</v>
      </c>
      <c r="DA19" s="241">
        <f ca="1">CZ19/SUBTOTAL(3,İstatistik[PG])</f>
        <v>0</v>
      </c>
      <c r="DB19" s="242">
        <f ca="1">SUMPRODUCT(SUBTOTAL(3,OFFSET(İstatistik[2FG],ROW(İstatistik[2FG])-MIN(ROW(İstatistik[2FG])),,1)),--(İstatistik[2FG]=CP19))</f>
        <v>0</v>
      </c>
      <c r="DC19" s="243">
        <f ca="1">DB19/SUBTOTAL(3,İstatistik[SG])</f>
        <v>0</v>
      </c>
      <c r="DD19" s="87">
        <v>15</v>
      </c>
      <c r="DE19" s="238">
        <f ca="1">SUMPRODUCT(SUBTOTAL(3,OFFSET(İstatistik[1Y],ROW(İstatistik[1Y])-MIN(ROW(İstatistik[1Y])),,1)),--(İstatistik[1Y]=CP19))</f>
        <v>0</v>
      </c>
      <c r="DF19" s="239">
        <f ca="1">DE19/SUBTOTAL(3,İstatistik[1Y])</f>
        <v>0</v>
      </c>
      <c r="DG19" s="240">
        <f ca="1">SUMPRODUCT(SUBTOTAL(3,OFFSET(İstatistik[0Y],ROW(İstatistik[0Y])-MIN(ROW(İstatistik[0Y])),,1)),--(İstatistik[0Y]=CP19))</f>
        <v>0</v>
      </c>
      <c r="DH19" s="241">
        <f ca="1">DG19/SUBTOTAL(3,İstatistik[0Y])</f>
        <v>0</v>
      </c>
      <c r="DI19" s="242">
        <f ca="1">SUMPRODUCT(SUBTOTAL(3,OFFSET(İstatistik[2Y],ROW(İstatistik[2Y])-MIN(ROW(İstatistik[2Y])),,1)),--(İstatistik[2Y]=CP19))</f>
        <v>0</v>
      </c>
      <c r="DJ19" s="243">
        <f ca="1">DI19/SUBTOTAL(3,İstatistik[2Y])</f>
        <v>0</v>
      </c>
      <c r="DQ19" s="259"/>
      <c r="DR19" s="260"/>
      <c r="DS19" s="261"/>
      <c r="DU19" s="159">
        <v>15</v>
      </c>
      <c r="DV19" s="155">
        <f>MIN(İstatistik[15])</f>
        <v>41</v>
      </c>
      <c r="DW19" s="156">
        <f>MAX(İstatistik[15])</f>
        <v>41</v>
      </c>
      <c r="DX19" s="155">
        <f>MIN(Dinamik[15])</f>
        <v>1</v>
      </c>
      <c r="DY19" s="156">
        <f>MAX(Dinamik[15])</f>
        <v>1</v>
      </c>
      <c r="EG19" s="152"/>
      <c r="EH19" s="152"/>
      <c r="EI19" s="152"/>
      <c r="EJ19" s="152"/>
      <c r="EK19" s="152"/>
      <c r="FF19" s="259"/>
      <c r="FG19" s="260"/>
      <c r="FH19" s="261"/>
      <c r="IA19" s="1">
        <v>12</v>
      </c>
      <c r="IB19" s="1">
        <f>MIN(İstatistik[13])</f>
        <v>32</v>
      </c>
    </row>
    <row r="20" spans="1:236" ht="11.1" customHeight="1" thickTop="1" thickBot="1" x14ac:dyDescent="0.3">
      <c r="AT20" s="115" t="s">
        <v>67</v>
      </c>
      <c r="AU20" s="188" t="s">
        <v>66</v>
      </c>
      <c r="AV20" s="116"/>
      <c r="AW20" s="190" t="s">
        <v>35</v>
      </c>
      <c r="AX20" s="188" t="s">
        <v>3</v>
      </c>
      <c r="AY20" s="116"/>
      <c r="AZ20" s="116"/>
      <c r="BA20" s="189"/>
      <c r="BB20" s="188" t="s">
        <v>8</v>
      </c>
      <c r="BC20" s="116"/>
      <c r="BD20" s="116"/>
      <c r="BE20" s="189"/>
      <c r="BF20" s="116" t="s">
        <v>2</v>
      </c>
      <c r="BG20" s="116"/>
      <c r="BH20" s="116"/>
      <c r="BI20" s="189"/>
      <c r="BZ20" s="1" t="s">
        <v>54</v>
      </c>
      <c r="CJ20" s="245" t="s">
        <v>57</v>
      </c>
      <c r="CK20" s="27" t="s">
        <v>56</v>
      </c>
      <c r="CL20" s="246" t="s">
        <v>57</v>
      </c>
      <c r="CM20" s="247" t="s">
        <v>56</v>
      </c>
      <c r="CN20" s="248" t="s">
        <v>57</v>
      </c>
      <c r="CO20" s="245" t="s">
        <v>56</v>
      </c>
      <c r="CP20" s="3"/>
      <c r="CQ20" s="245" t="s">
        <v>57</v>
      </c>
      <c r="CR20" s="27" t="s">
        <v>56</v>
      </c>
      <c r="CS20" s="246" t="s">
        <v>57</v>
      </c>
      <c r="CT20" s="247" t="s">
        <v>56</v>
      </c>
      <c r="CU20" s="248" t="s">
        <v>57</v>
      </c>
      <c r="CV20" s="245" t="s">
        <v>56</v>
      </c>
      <c r="CW20" s="3"/>
      <c r="CX20" s="245" t="s">
        <v>57</v>
      </c>
      <c r="CY20" s="27" t="s">
        <v>56</v>
      </c>
      <c r="CZ20" s="246" t="s">
        <v>57</v>
      </c>
      <c r="DA20" s="247" t="s">
        <v>56</v>
      </c>
      <c r="DB20" s="248" t="s">
        <v>57</v>
      </c>
      <c r="DC20" s="245" t="s">
        <v>56</v>
      </c>
      <c r="DE20" s="245" t="s">
        <v>57</v>
      </c>
      <c r="DF20" s="27" t="s">
        <v>56</v>
      </c>
      <c r="DG20" s="246" t="s">
        <v>57</v>
      </c>
      <c r="DH20" s="247" t="s">
        <v>56</v>
      </c>
      <c r="DI20" s="248" t="s">
        <v>57</v>
      </c>
      <c r="DJ20" s="245" t="s">
        <v>56</v>
      </c>
      <c r="EG20" s="152"/>
      <c r="EH20" s="152"/>
      <c r="EI20" s="152"/>
      <c r="EJ20" s="152"/>
      <c r="EK20" s="152"/>
      <c r="IA20" s="1">
        <v>13</v>
      </c>
      <c r="IB20" s="1">
        <f>MIN(İstatistik[14])</f>
        <v>37</v>
      </c>
    </row>
    <row r="21" spans="1:236" ht="11.1" customHeight="1" thickBot="1" x14ac:dyDescent="0.3">
      <c r="A21" s="256"/>
      <c r="B21" s="257"/>
      <c r="C21" s="258"/>
      <c r="O21" s="276"/>
      <c r="P21" s="30" t="s">
        <v>55</v>
      </c>
      <c r="Q21" s="30"/>
      <c r="R21" s="31"/>
      <c r="T21" s="24" t="s">
        <v>2</v>
      </c>
      <c r="U21" s="34"/>
      <c r="V21" s="35"/>
      <c r="X21" s="24" t="s">
        <v>62</v>
      </c>
      <c r="Y21" s="34"/>
      <c r="Z21" s="35"/>
      <c r="AB21" s="24" t="s">
        <v>63</v>
      </c>
      <c r="AC21" s="34"/>
      <c r="AD21" s="35"/>
      <c r="AF21" s="39"/>
      <c r="AG21" s="40"/>
      <c r="AH21" s="41"/>
      <c r="AJ21" s="39"/>
      <c r="AK21" s="40"/>
      <c r="AL21" s="41"/>
      <c r="AP21" s="256"/>
      <c r="AQ21" s="257"/>
      <c r="AR21" s="258"/>
      <c r="AT21" s="191" t="s">
        <v>32</v>
      </c>
      <c r="AU21" s="192" t="s">
        <v>33</v>
      </c>
      <c r="AV21" s="193" t="s">
        <v>34</v>
      </c>
      <c r="AW21" s="196" t="s">
        <v>35</v>
      </c>
      <c r="AX21" s="192" t="s">
        <v>36</v>
      </c>
      <c r="AY21" s="193" t="s">
        <v>37</v>
      </c>
      <c r="AZ21" s="193" t="s">
        <v>38</v>
      </c>
      <c r="BA21" s="194" t="s">
        <v>39</v>
      </c>
      <c r="BB21" s="192" t="s">
        <v>106</v>
      </c>
      <c r="BC21" s="193" t="s">
        <v>107</v>
      </c>
      <c r="BD21" s="193" t="s">
        <v>108</v>
      </c>
      <c r="BE21" s="194" t="s">
        <v>109</v>
      </c>
      <c r="BF21" s="195" t="s">
        <v>40</v>
      </c>
      <c r="BG21" s="193" t="s">
        <v>41</v>
      </c>
      <c r="BH21" s="193" t="s">
        <v>42</v>
      </c>
      <c r="BI21" s="194" t="s">
        <v>43</v>
      </c>
      <c r="BZ21" s="1" t="s">
        <v>54</v>
      </c>
      <c r="CB21" s="256"/>
      <c r="CC21" s="257"/>
      <c r="CD21" s="258"/>
      <c r="CI21" s="232">
        <f ca="1">SUM(CJ4:CJ19)</f>
        <v>1</v>
      </c>
      <c r="CJ21" s="232">
        <f t="array" aca="1" ref="CJ21" ca="1">MIN(IF(CJ4:CJ19&gt;0.05,$CP$4:$CP$19))</f>
        <v>5</v>
      </c>
      <c r="CK21" s="249">
        <f t="array" aca="1" ref="CK21" ca="1">MAX(IF(CJ4:CJ19&gt;0.05,$CP$4:$CP$19))</f>
        <v>5</v>
      </c>
      <c r="CL21" s="234">
        <f t="array" aca="1" ref="CL21" ca="1">MIN(IF(CL4:CL19&gt;0.05,$CP$4:$CP$19))</f>
        <v>3</v>
      </c>
      <c r="CM21" s="250">
        <f t="array" aca="1" ref="CM21" ca="1">MAX(IF(CL4:CL19&gt;0.05,$CP$4:$CP$19))</f>
        <v>3</v>
      </c>
      <c r="CN21" s="236">
        <f t="array" aca="1" ref="CN21" ca="1">MIN(IF(CN4:CN19&gt;0.05,$CP$4:$CP$19))</f>
        <v>7</v>
      </c>
      <c r="CO21" s="251">
        <f t="array" aca="1" ref="CO21" ca="1">MAX(IF(CN4:CN19&gt;0.05,$CP$4:$CP$19))</f>
        <v>7</v>
      </c>
      <c r="CQ21" s="232">
        <f t="array" aca="1" ref="CQ21" ca="1">MIN(IF(CQ4:CQ19&gt;0.05,$CP$4:$CP$19))</f>
        <v>9</v>
      </c>
      <c r="CR21" s="249">
        <f t="array" aca="1" ref="CR21" ca="1">MAX(IF(CQ4:CQ19&gt;0.05,$CP$4:$CP$19))</f>
        <v>9</v>
      </c>
      <c r="CS21" s="234">
        <f t="array" aca="1" ref="CS21" ca="1">MIN(IF(CS4:CS19&gt;0.05,$CP$4:$CP$19))</f>
        <v>1</v>
      </c>
      <c r="CT21" s="250">
        <f t="array" aca="1" ref="CT21" ca="1">MAX(IF(CS4:CS19&gt;0.05,$CP$4:$CP$19))</f>
        <v>1</v>
      </c>
      <c r="CU21" s="236">
        <f t="array" aca="1" ref="CU21" ca="1">MIN(IF(CU4:CU19&gt;0.05,$CP$4:$CP$19))</f>
        <v>5</v>
      </c>
      <c r="CV21" s="251">
        <f t="array" aca="1" ref="CV21" ca="1">MAX(IF(CU4:CU19&gt;0.05,$CP$4:$CP$19))</f>
        <v>5</v>
      </c>
      <c r="CX21" s="232">
        <f t="array" aca="1" ref="CX21" ca="1">MIN(IF(CX4:CX19&gt;0.05,$CP$4:$CP$19))</f>
        <v>5</v>
      </c>
      <c r="CY21" s="249">
        <f t="array" aca="1" ref="CY21" ca="1">MAX(IF(CX4:CX19&gt;0.05,$CP$4:$CP$19))</f>
        <v>5</v>
      </c>
      <c r="CZ21" s="234">
        <f t="array" aca="1" ref="CZ21" ca="1">MIN(IF(CZ4:CZ19&gt;0.05,$CP$4:$CP$19))</f>
        <v>2</v>
      </c>
      <c r="DA21" s="250">
        <f t="array" aca="1" ref="DA21" ca="1">MAX(IF(CZ4:CZ19&gt;0.05,$CP$4:$CP$19))</f>
        <v>2</v>
      </c>
      <c r="DB21" s="236">
        <f t="array" aca="1" ref="DB21" ca="1">MIN(IF(DB4:DB19&gt;0.05,$CP$4:$CP$19))</f>
        <v>4</v>
      </c>
      <c r="DC21" s="251">
        <f t="array" aca="1" ref="DC21" ca="1">MAX(IF(DB4:DB19&gt;0.05,$CP$4:$CP$19))</f>
        <v>4</v>
      </c>
      <c r="DE21" s="232">
        <f t="array" aca="1" ref="DE21" ca="1">MIN(IF(DE4:DE19&gt;0.05,$CP$4:$CP$19))</f>
        <v>2</v>
      </c>
      <c r="DF21" s="249">
        <f t="array" aca="1" ref="DF21" ca="1">MAX(IF(DE4:DE19&gt;0.05,$CP$4:$CP$19))</f>
        <v>2</v>
      </c>
      <c r="DG21" s="234">
        <f t="array" aca="1" ref="DG21" ca="1">MIN(IF(DG4:DG19&gt;0.05,$CP$4:$CP$19))</f>
        <v>2</v>
      </c>
      <c r="DH21" s="250">
        <f t="array" aca="1" ref="DH21" ca="1">MAX(IF(DG4:DG19&gt;0.05,$CP$4:$CP$19))</f>
        <v>2</v>
      </c>
      <c r="DI21" s="236">
        <f t="array" aca="1" ref="DI21" ca="1">MIN(IF(DI4:DI19&gt;0.05,$CP$4:$CP$19))</f>
        <v>3</v>
      </c>
      <c r="DJ21" s="251">
        <f t="array" aca="1" ref="DJ21" ca="1">MAX(IF(DI4:DI19&gt;0.05,$CP$4:$CP$19))</f>
        <v>3</v>
      </c>
      <c r="DQ21" s="256"/>
      <c r="DR21" s="257"/>
      <c r="DS21" s="258"/>
      <c r="IA21" s="1">
        <v>14</v>
      </c>
      <c r="IB21" s="1">
        <f>MIN(İstatistik[15])</f>
        <v>41</v>
      </c>
    </row>
    <row r="22" spans="1:236" ht="11.1" customHeight="1" thickBot="1" x14ac:dyDescent="0.3">
      <c r="A22" s="259"/>
      <c r="B22" s="260"/>
      <c r="C22" s="261"/>
      <c r="E22" s="36">
        <v>1</v>
      </c>
      <c r="F22" s="14" t="str">
        <f t="shared" ref="F22:F36" si="22">AU3</f>
        <v>Malatyaspor</v>
      </c>
      <c r="G22" s="70"/>
      <c r="H22" s="71"/>
      <c r="I22" s="14" t="str">
        <f t="shared" ref="I22:I36" si="23">AV3</f>
        <v>Adana Demirspor A.Ş.</v>
      </c>
      <c r="J22" s="70"/>
      <c r="K22" s="71"/>
      <c r="L22" s="1" t="s">
        <v>54</v>
      </c>
      <c r="M22" s="17">
        <f t="shared" ref="M22:M36" si="24">AW3</f>
        <v>1</v>
      </c>
      <c r="O22" s="279"/>
      <c r="P22" s="32">
        <v>1</v>
      </c>
      <c r="Q22" s="32">
        <v>0</v>
      </c>
      <c r="R22" s="33">
        <v>2</v>
      </c>
      <c r="T22" s="37">
        <v>1</v>
      </c>
      <c r="U22" s="53"/>
      <c r="V22" s="54"/>
      <c r="X22" s="57"/>
      <c r="Y22" s="58"/>
      <c r="Z22" s="59"/>
      <c r="AB22" s="57"/>
      <c r="AC22" s="58"/>
      <c r="AD22" s="59"/>
      <c r="AF22" s="57"/>
      <c r="AG22" s="58"/>
      <c r="AH22" s="59"/>
      <c r="AJ22" s="57"/>
      <c r="AK22" s="58"/>
      <c r="AL22" s="59"/>
      <c r="AP22" s="259"/>
      <c r="AQ22" s="260"/>
      <c r="AR22" s="261"/>
      <c r="AT22" s="182">
        <v>1</v>
      </c>
      <c r="AU22" s="215" t="s">
        <v>18</v>
      </c>
      <c r="AV22" s="10" t="s">
        <v>15</v>
      </c>
      <c r="AW22" s="178">
        <v>1</v>
      </c>
      <c r="AX22" s="96">
        <v>40</v>
      </c>
      <c r="AY22" s="66">
        <v>26</v>
      </c>
      <c r="AZ22" s="216">
        <v>34</v>
      </c>
      <c r="BA22" s="219">
        <v>40</v>
      </c>
      <c r="BB22" s="96" t="s">
        <v>48</v>
      </c>
      <c r="BC22" s="66" t="s">
        <v>35</v>
      </c>
      <c r="BD22" s="66" t="s">
        <v>47</v>
      </c>
      <c r="BE22" s="86" t="s">
        <v>48</v>
      </c>
      <c r="BF22" s="184">
        <v>13</v>
      </c>
      <c r="BG22" s="66">
        <v>24</v>
      </c>
      <c r="BH22" s="66">
        <v>16</v>
      </c>
      <c r="BI22" s="86">
        <v>13</v>
      </c>
      <c r="CB22" s="259"/>
      <c r="CC22" s="260"/>
      <c r="CD22" s="261"/>
      <c r="CI22" s="238" t="e">
        <f>Formüller!#REF!</f>
        <v>#REF!</v>
      </c>
      <c r="CJ22" s="238" t="e">
        <f>Formüller!#REF!</f>
        <v>#REF!</v>
      </c>
      <c r="CK22" s="252" t="e">
        <f>Formüller!#REF!</f>
        <v>#REF!</v>
      </c>
      <c r="CL22" s="240" t="e">
        <f>Formüller!#REF!</f>
        <v>#REF!</v>
      </c>
      <c r="CM22" s="253" t="e">
        <f>Formüller!#REF!</f>
        <v>#REF!</v>
      </c>
      <c r="CN22" s="242" t="e">
        <f>Formüller!#REF!</f>
        <v>#REF!</v>
      </c>
      <c r="CO22" s="254" t="e">
        <f>Formüller!#REF!</f>
        <v>#REF!</v>
      </c>
      <c r="CQ22" s="238" t="e">
        <f>Formüller!#REF!</f>
        <v>#REF!</v>
      </c>
      <c r="CR22" s="252" t="e">
        <f>Formüller!#REF!</f>
        <v>#REF!</v>
      </c>
      <c r="CS22" s="240" t="e">
        <f>Formüller!#REF!</f>
        <v>#REF!</v>
      </c>
      <c r="CT22" s="253" t="e">
        <f>Formüller!#REF!</f>
        <v>#REF!</v>
      </c>
      <c r="CU22" s="242" t="e">
        <f>Formüller!#REF!</f>
        <v>#REF!</v>
      </c>
      <c r="CV22" s="254" t="e">
        <f>Formüller!#REF!</f>
        <v>#REF!</v>
      </c>
      <c r="CX22" s="238" t="e">
        <f>Formüller!#REF!</f>
        <v>#REF!</v>
      </c>
      <c r="CY22" s="252" t="e">
        <f>Formüller!#REF!</f>
        <v>#REF!</v>
      </c>
      <c r="CZ22" s="240" t="e">
        <f>Formüller!#REF!</f>
        <v>#REF!</v>
      </c>
      <c r="DA22" s="253" t="e">
        <f>Formüller!#REF!</f>
        <v>#REF!</v>
      </c>
      <c r="DB22" s="242" t="e">
        <f>Formüller!#REF!</f>
        <v>#REF!</v>
      </c>
      <c r="DC22" s="254" t="e">
        <f>Formüller!#REF!</f>
        <v>#REF!</v>
      </c>
      <c r="DE22" s="238" t="e">
        <f>Formüller!#REF!</f>
        <v>#REF!</v>
      </c>
      <c r="DF22" s="252" t="e">
        <f>Formüller!#REF!</f>
        <v>#REF!</v>
      </c>
      <c r="DG22" s="240" t="e">
        <f>Formüller!#REF!</f>
        <v>#REF!</v>
      </c>
      <c r="DH22" s="253" t="e">
        <f>Formüller!#REF!</f>
        <v>#REF!</v>
      </c>
      <c r="DI22" s="242" t="e">
        <f>Formüller!#REF!</f>
        <v>#REF!</v>
      </c>
      <c r="DJ22" s="254" t="e">
        <f>Formüller!#REF!</f>
        <v>#REF!</v>
      </c>
      <c r="DQ22" s="259"/>
      <c r="DR22" s="260"/>
      <c r="DS22" s="261"/>
      <c r="IA22" s="1">
        <v>15</v>
      </c>
      <c r="IB22" s="1">
        <f>MIN(İstatistik[15])</f>
        <v>41</v>
      </c>
    </row>
    <row r="23" spans="1:236" ht="11.1" customHeight="1" thickBot="1" x14ac:dyDescent="0.3">
      <c r="E23" s="37">
        <v>2</v>
      </c>
      <c r="F23" s="15" t="str">
        <f t="shared" si="22"/>
        <v>Göztepe</v>
      </c>
      <c r="G23" s="72"/>
      <c r="H23" s="73"/>
      <c r="I23" s="15" t="str">
        <f t="shared" si="23"/>
        <v>Kasımpaşa A.Ş.</v>
      </c>
      <c r="J23" s="72"/>
      <c r="K23" s="73"/>
      <c r="L23" s="1" t="s">
        <v>54</v>
      </c>
      <c r="M23" s="18">
        <f t="shared" si="24"/>
        <v>2</v>
      </c>
      <c r="O23" s="45" t="s">
        <v>57</v>
      </c>
      <c r="P23" s="46"/>
      <c r="Q23" s="47"/>
      <c r="R23" s="48"/>
      <c r="T23" s="37">
        <v>2</v>
      </c>
      <c r="U23" s="55"/>
      <c r="V23" s="56"/>
      <c r="X23" s="60"/>
      <c r="Y23" s="61"/>
      <c r="Z23" s="62"/>
      <c r="AB23" s="60"/>
      <c r="AC23" s="61"/>
      <c r="AD23" s="62"/>
      <c r="AF23" s="60"/>
      <c r="AG23" s="61"/>
      <c r="AH23" s="62"/>
      <c r="AJ23" s="60"/>
      <c r="AK23" s="61"/>
      <c r="AL23" s="62"/>
      <c r="AT23" s="182">
        <v>1</v>
      </c>
      <c r="AU23" s="215" t="s">
        <v>23</v>
      </c>
      <c r="AV23" s="10" t="s">
        <v>14</v>
      </c>
      <c r="AW23" s="178">
        <v>2</v>
      </c>
      <c r="AX23" s="96">
        <v>16</v>
      </c>
      <c r="AY23" s="66">
        <v>24</v>
      </c>
      <c r="AZ23" s="216">
        <v>60</v>
      </c>
      <c r="BA23" s="219">
        <v>60</v>
      </c>
      <c r="BB23" s="96" t="s">
        <v>35</v>
      </c>
      <c r="BC23" s="66" t="s">
        <v>47</v>
      </c>
      <c r="BD23" s="66" t="s">
        <v>48</v>
      </c>
      <c r="BE23" s="86" t="s">
        <v>48</v>
      </c>
      <c r="BF23" s="184">
        <v>37</v>
      </c>
      <c r="BG23" s="66">
        <v>29</v>
      </c>
      <c r="BH23" s="66">
        <v>5</v>
      </c>
      <c r="BI23" s="86">
        <v>5</v>
      </c>
      <c r="CI23" s="232" t="e">
        <f>Formüller!#REF!</f>
        <v>#REF!</v>
      </c>
      <c r="CJ23" s="232" t="e">
        <f>Formüller!#REF!</f>
        <v>#REF!</v>
      </c>
      <c r="CK23" s="249" t="e">
        <f>Formüller!#REF!</f>
        <v>#REF!</v>
      </c>
      <c r="CL23" s="234" t="e">
        <f>Formüller!#REF!</f>
        <v>#REF!</v>
      </c>
      <c r="CM23" s="250" t="e">
        <f>Formüller!#REF!</f>
        <v>#REF!</v>
      </c>
      <c r="CN23" s="236" t="e">
        <f>Formüller!#REF!</f>
        <v>#REF!</v>
      </c>
      <c r="CO23" s="251" t="e">
        <f>Formüller!#REF!</f>
        <v>#REF!</v>
      </c>
      <c r="CQ23" s="232" t="e">
        <f>Formüller!#REF!</f>
        <v>#REF!</v>
      </c>
      <c r="CR23" s="249" t="e">
        <f>Formüller!#REF!</f>
        <v>#REF!</v>
      </c>
      <c r="CS23" s="234" t="e">
        <f>Formüller!#REF!</f>
        <v>#REF!</v>
      </c>
      <c r="CT23" s="250" t="e">
        <f>Formüller!#REF!</f>
        <v>#REF!</v>
      </c>
      <c r="CU23" s="236" t="e">
        <f>Formüller!#REF!</f>
        <v>#REF!</v>
      </c>
      <c r="CV23" s="251" t="e">
        <f>Formüller!#REF!</f>
        <v>#REF!</v>
      </c>
      <c r="CX23" s="232" t="e">
        <f>Formüller!#REF!</f>
        <v>#REF!</v>
      </c>
      <c r="CY23" s="249" t="e">
        <f>Formüller!#REF!</f>
        <v>#REF!</v>
      </c>
      <c r="CZ23" s="234" t="e">
        <f>Formüller!#REF!</f>
        <v>#REF!</v>
      </c>
      <c r="DA23" s="250" t="e">
        <f>Formüller!#REF!</f>
        <v>#REF!</v>
      </c>
      <c r="DB23" s="236" t="e">
        <f>Formüller!#REF!</f>
        <v>#REF!</v>
      </c>
      <c r="DC23" s="251" t="e">
        <f>Formüller!#REF!</f>
        <v>#REF!</v>
      </c>
      <c r="DE23" s="232" t="e">
        <f>Formüller!#REF!</f>
        <v>#REF!</v>
      </c>
      <c r="DF23" s="249" t="e">
        <f>Formüller!#REF!</f>
        <v>#REF!</v>
      </c>
      <c r="DG23" s="234" t="e">
        <f>Formüller!#REF!</f>
        <v>#REF!</v>
      </c>
      <c r="DH23" s="250" t="e">
        <f>Formüller!#REF!</f>
        <v>#REF!</v>
      </c>
      <c r="DI23" s="236" t="e">
        <f>Formüller!#REF!</f>
        <v>#REF!</v>
      </c>
      <c r="DJ23" s="251" t="e">
        <f>Formüller!#REF!</f>
        <v>#REF!</v>
      </c>
    </row>
    <row r="24" spans="1:236" ht="11.1" customHeight="1" thickBot="1" x14ac:dyDescent="0.3">
      <c r="A24" s="256"/>
      <c r="B24" s="257"/>
      <c r="C24" s="258"/>
      <c r="E24" s="37">
        <v>3</v>
      </c>
      <c r="F24" s="15" t="str">
        <f t="shared" si="22"/>
        <v>Rizespor</v>
      </c>
      <c r="G24" s="72"/>
      <c r="H24" s="73"/>
      <c r="I24" s="15" t="str">
        <f t="shared" si="23"/>
        <v>Giresunspor</v>
      </c>
      <c r="J24" s="72"/>
      <c r="K24" s="73"/>
      <c r="L24" s="1" t="s">
        <v>54</v>
      </c>
      <c r="M24" s="18">
        <f t="shared" si="24"/>
        <v>2</v>
      </c>
      <c r="O24" s="21" t="s">
        <v>56</v>
      </c>
      <c r="P24" s="49"/>
      <c r="Q24" s="44"/>
      <c r="R24" s="43"/>
      <c r="T24" s="37">
        <v>3</v>
      </c>
      <c r="U24" s="55"/>
      <c r="V24" s="56"/>
      <c r="X24" s="60"/>
      <c r="Y24" s="61"/>
      <c r="Z24" s="62"/>
      <c r="AB24" s="60"/>
      <c r="AC24" s="61"/>
      <c r="AD24" s="62"/>
      <c r="AF24" s="60"/>
      <c r="AG24" s="61"/>
      <c r="AH24" s="62"/>
      <c r="AJ24" s="60"/>
      <c r="AK24" s="61"/>
      <c r="AL24" s="62"/>
      <c r="AP24" s="256"/>
      <c r="AQ24" s="257"/>
      <c r="AR24" s="258"/>
      <c r="AT24" s="182">
        <v>1</v>
      </c>
      <c r="AU24" s="215" t="s">
        <v>16</v>
      </c>
      <c r="AV24" s="10" t="s">
        <v>17</v>
      </c>
      <c r="AW24" s="178">
        <v>2</v>
      </c>
      <c r="AX24" s="96">
        <v>28</v>
      </c>
      <c r="AY24" s="66">
        <v>25</v>
      </c>
      <c r="AZ24" s="216">
        <v>47</v>
      </c>
      <c r="BA24" s="219">
        <v>47</v>
      </c>
      <c r="BB24" s="96" t="s">
        <v>47</v>
      </c>
      <c r="BC24" s="66" t="s">
        <v>35</v>
      </c>
      <c r="BD24" s="66" t="s">
        <v>48</v>
      </c>
      <c r="BE24" s="86" t="s">
        <v>48</v>
      </c>
      <c r="BF24" s="184">
        <v>22</v>
      </c>
      <c r="BG24" s="66">
        <v>26</v>
      </c>
      <c r="BH24" s="66">
        <v>11</v>
      </c>
      <c r="BI24" s="86">
        <v>11</v>
      </c>
      <c r="CB24" s="256"/>
      <c r="CC24" s="257"/>
      <c r="CD24" s="258"/>
      <c r="DQ24" s="256"/>
      <c r="DR24" s="257"/>
      <c r="DS24" s="258"/>
    </row>
    <row r="25" spans="1:236" ht="11.1" customHeight="1" thickTop="1" thickBot="1" x14ac:dyDescent="0.3">
      <c r="A25" s="259"/>
      <c r="B25" s="260"/>
      <c r="C25" s="261"/>
      <c r="E25" s="37">
        <v>4</v>
      </c>
      <c r="F25" s="15" t="str">
        <f t="shared" si="22"/>
        <v>Konyaspor</v>
      </c>
      <c r="G25" s="72"/>
      <c r="H25" s="73"/>
      <c r="I25" s="15" t="str">
        <f t="shared" si="23"/>
        <v>Galatasaray A.Ş.</v>
      </c>
      <c r="J25" s="72"/>
      <c r="K25" s="73"/>
      <c r="L25" s="1" t="s">
        <v>54</v>
      </c>
      <c r="M25" s="18">
        <f t="shared" si="24"/>
        <v>1</v>
      </c>
      <c r="T25" s="37">
        <v>4</v>
      </c>
      <c r="U25" s="55"/>
      <c r="V25" s="56"/>
      <c r="X25" s="60"/>
      <c r="Y25" s="61"/>
      <c r="Z25" s="62"/>
      <c r="AB25" s="60"/>
      <c r="AC25" s="61"/>
      <c r="AD25" s="62"/>
      <c r="AF25" s="60"/>
      <c r="AG25" s="61"/>
      <c r="AH25" s="62"/>
      <c r="AJ25" s="60"/>
      <c r="AK25" s="61"/>
      <c r="AL25" s="62"/>
      <c r="AP25" s="259"/>
      <c r="AQ25" s="260"/>
      <c r="AR25" s="261"/>
      <c r="AT25" s="182">
        <v>1</v>
      </c>
      <c r="AU25" s="215" t="s">
        <v>113</v>
      </c>
      <c r="AV25" s="10" t="s">
        <v>49</v>
      </c>
      <c r="AW25" s="178">
        <v>0</v>
      </c>
      <c r="AX25" s="96">
        <v>30</v>
      </c>
      <c r="AY25" s="66">
        <v>24</v>
      </c>
      <c r="AZ25" s="216">
        <v>46</v>
      </c>
      <c r="BA25" s="219">
        <v>24</v>
      </c>
      <c r="BB25" s="96" t="s">
        <v>47</v>
      </c>
      <c r="BC25" s="66" t="s">
        <v>35</v>
      </c>
      <c r="BD25" s="66" t="s">
        <v>48</v>
      </c>
      <c r="BE25" s="86" t="s">
        <v>35</v>
      </c>
      <c r="BF25" s="184">
        <v>19</v>
      </c>
      <c r="BG25" s="66">
        <v>29</v>
      </c>
      <c r="BH25" s="66">
        <v>12</v>
      </c>
      <c r="BI25" s="86">
        <v>29</v>
      </c>
      <c r="CB25" s="259"/>
      <c r="CC25" s="260"/>
      <c r="CD25" s="261"/>
      <c r="CJ25" s="140">
        <f>CL30</f>
        <v>6</v>
      </c>
      <c r="CK25" s="141"/>
      <c r="CL25" s="140">
        <f>CM30</f>
        <v>5</v>
      </c>
      <c r="CM25" s="141"/>
      <c r="CN25" s="140">
        <f>CN30</f>
        <v>4</v>
      </c>
      <c r="CO25" s="141"/>
      <c r="CQ25" s="140">
        <f>CO30</f>
        <v>4</v>
      </c>
      <c r="CR25" s="141"/>
      <c r="CS25" s="140">
        <f>CP30</f>
        <v>5</v>
      </c>
      <c r="CT25" s="141"/>
      <c r="CU25" s="140">
        <f>CQ30</f>
        <v>6</v>
      </c>
      <c r="CV25" s="141"/>
      <c r="CX25" s="140">
        <f>CR30</f>
        <v>4</v>
      </c>
      <c r="CY25" s="141"/>
      <c r="CZ25" s="140">
        <f>CS30</f>
        <v>3</v>
      </c>
      <c r="DA25" s="141"/>
      <c r="DB25" s="140">
        <f>CT30</f>
        <v>0</v>
      </c>
      <c r="DC25" s="141"/>
      <c r="DE25" s="140">
        <f>CU30</f>
        <v>2</v>
      </c>
      <c r="DF25" s="141"/>
      <c r="DG25" s="140">
        <f>CV30</f>
        <v>3</v>
      </c>
      <c r="DH25" s="141"/>
      <c r="DI25" s="140">
        <f>CW30</f>
        <v>2</v>
      </c>
      <c r="DJ25" s="141"/>
      <c r="DQ25" s="259"/>
      <c r="DR25" s="260"/>
      <c r="DS25" s="261"/>
    </row>
    <row r="26" spans="1:236" ht="11.1" customHeight="1" thickTop="1" thickBot="1" x14ac:dyDescent="0.3">
      <c r="E26" s="37">
        <v>5</v>
      </c>
      <c r="F26" s="15" t="str">
        <f t="shared" si="22"/>
        <v>Fatih Karagümrük</v>
      </c>
      <c r="G26" s="72"/>
      <c r="H26" s="73"/>
      <c r="I26" s="15" t="str">
        <f t="shared" si="23"/>
        <v>Altay</v>
      </c>
      <c r="J26" s="72"/>
      <c r="K26" s="73"/>
      <c r="L26" s="1" t="s">
        <v>54</v>
      </c>
      <c r="M26" s="18">
        <f t="shared" si="24"/>
        <v>0</v>
      </c>
      <c r="O26" s="276"/>
      <c r="P26" s="30" t="s">
        <v>8</v>
      </c>
      <c r="Q26" s="30"/>
      <c r="R26" s="31"/>
      <c r="T26" s="37">
        <v>5</v>
      </c>
      <c r="U26" s="55"/>
      <c r="V26" s="56"/>
      <c r="X26" s="60"/>
      <c r="Y26" s="61"/>
      <c r="Z26" s="62"/>
      <c r="AB26" s="60"/>
      <c r="AC26" s="61"/>
      <c r="AD26" s="62"/>
      <c r="AF26" s="60"/>
      <c r="AG26" s="61"/>
      <c r="AH26" s="62"/>
      <c r="AJ26" s="60"/>
      <c r="AK26" s="61"/>
      <c r="AL26" s="62"/>
      <c r="AT26" s="182">
        <v>1</v>
      </c>
      <c r="AU26" s="215" t="s">
        <v>10</v>
      </c>
      <c r="AV26" s="10" t="s">
        <v>114</v>
      </c>
      <c r="AW26" s="178">
        <v>0</v>
      </c>
      <c r="AX26" s="96">
        <v>57</v>
      </c>
      <c r="AY26" s="66">
        <v>24</v>
      </c>
      <c r="AZ26" s="216">
        <v>19</v>
      </c>
      <c r="BA26" s="219">
        <v>24</v>
      </c>
      <c r="BB26" s="96" t="s">
        <v>48</v>
      </c>
      <c r="BC26" s="66" t="s">
        <v>47</v>
      </c>
      <c r="BD26" s="66" t="s">
        <v>35</v>
      </c>
      <c r="BE26" s="86" t="s">
        <v>47</v>
      </c>
      <c r="BF26" s="184">
        <v>7</v>
      </c>
      <c r="BG26" s="66">
        <v>29</v>
      </c>
      <c r="BH26" s="66">
        <v>36</v>
      </c>
      <c r="BI26" s="86">
        <v>29</v>
      </c>
      <c r="CJ26" s="230" t="str">
        <f ca="1">IF(AND(CJ21&lt;=CJ25,CJ25&lt;=CK21),"ü","")</f>
        <v/>
      </c>
      <c r="CK26" s="231"/>
      <c r="CL26" s="230" t="str">
        <f ca="1">IF(AND(CL21&lt;=CL25,CL25&lt;=CM21),"ü","")</f>
        <v/>
      </c>
      <c r="CM26" s="231"/>
      <c r="CN26" s="230" t="str">
        <f ca="1">IF(AND(CN21&lt;=CN25,CN25&lt;=CO21),"ü","")</f>
        <v/>
      </c>
      <c r="CO26" s="231"/>
      <c r="CQ26" s="230" t="str">
        <f ca="1">IF(AND(CQ21&lt;=CQ25,CQ25&lt;=CR21),"ü","")</f>
        <v/>
      </c>
      <c r="CR26" s="231"/>
      <c r="CS26" s="230" t="str">
        <f ca="1">IF(AND(CS21&lt;=CS25,CS25&lt;=CT21),"ü","")</f>
        <v/>
      </c>
      <c r="CT26" s="231"/>
      <c r="CU26" s="230" t="str">
        <f ca="1">IF(AND(CU21&lt;=CU25,CU25&lt;=CV21),"ü","")</f>
        <v/>
      </c>
      <c r="CV26" s="231"/>
      <c r="CX26" s="230" t="str">
        <f ca="1">IF(AND(CX21&lt;=CX25,CX25&lt;=CY21),"ü","")</f>
        <v/>
      </c>
      <c r="CY26" s="231"/>
      <c r="CZ26" s="230" t="str">
        <f ca="1">IF(AND(CZ21&lt;=CZ25,CZ25&lt;=DA21),"ü","")</f>
        <v/>
      </c>
      <c r="DA26" s="231"/>
      <c r="DB26" s="230" t="str">
        <f ca="1">IF(AND(DB21&lt;=DB25,DB25&lt;=DC21),"ü","")</f>
        <v/>
      </c>
      <c r="DC26" s="231"/>
      <c r="DE26" s="230" t="str">
        <f ca="1">IF(AND(DE21&lt;=DE25,DE25&lt;=DF21),"ü","")</f>
        <v>ü</v>
      </c>
      <c r="DF26" s="231"/>
      <c r="DG26" s="230" t="str">
        <f ca="1">IF(AND(DG21&lt;=DG25,DG25&lt;=DH21),"ü","")</f>
        <v/>
      </c>
      <c r="DH26" s="231"/>
      <c r="DI26" s="230" t="str">
        <f ca="1">IF(AND(DI21&lt;=DI25,DI25&lt;=DJ21),"ü","")</f>
        <v/>
      </c>
      <c r="DJ26" s="231"/>
    </row>
    <row r="27" spans="1:236" ht="11.1" customHeight="1" thickTop="1" thickBot="1" x14ac:dyDescent="0.3">
      <c r="A27" s="3"/>
      <c r="B27" s="3"/>
      <c r="C27" s="3"/>
      <c r="E27" s="37">
        <v>6</v>
      </c>
      <c r="F27" s="15" t="str">
        <f t="shared" si="22"/>
        <v>Antalyaspor</v>
      </c>
      <c r="G27" s="72"/>
      <c r="H27" s="73"/>
      <c r="I27" s="15" t="str">
        <f t="shared" si="23"/>
        <v>Sivasspor</v>
      </c>
      <c r="J27" s="72"/>
      <c r="K27" s="73"/>
      <c r="L27" s="1" t="s">
        <v>54</v>
      </c>
      <c r="M27" s="18">
        <f t="shared" si="24"/>
        <v>1</v>
      </c>
      <c r="O27" s="279"/>
      <c r="P27" s="32">
        <v>1</v>
      </c>
      <c r="Q27" s="32">
        <v>0</v>
      </c>
      <c r="R27" s="33">
        <v>2</v>
      </c>
      <c r="T27" s="37">
        <v>6</v>
      </c>
      <c r="U27" s="55"/>
      <c r="V27" s="56"/>
      <c r="X27" s="60"/>
      <c r="Y27" s="61"/>
      <c r="Z27" s="62"/>
      <c r="AB27" s="60"/>
      <c r="AC27" s="61"/>
      <c r="AD27" s="62"/>
      <c r="AF27" s="60"/>
      <c r="AG27" s="61"/>
      <c r="AH27" s="62"/>
      <c r="AJ27" s="60"/>
      <c r="AK27" s="61"/>
      <c r="AL27" s="62"/>
      <c r="AT27" s="182">
        <v>1</v>
      </c>
      <c r="AU27" s="215" t="s">
        <v>25</v>
      </c>
      <c r="AV27" s="10" t="s">
        <v>19</v>
      </c>
      <c r="AW27" s="178">
        <v>2</v>
      </c>
      <c r="AX27" s="96">
        <v>51</v>
      </c>
      <c r="AY27" s="66">
        <v>26</v>
      </c>
      <c r="AZ27" s="216">
        <v>23</v>
      </c>
      <c r="BA27" s="219">
        <v>23</v>
      </c>
      <c r="BB27" s="96" t="s">
        <v>48</v>
      </c>
      <c r="BC27" s="66" t="s">
        <v>47</v>
      </c>
      <c r="BD27" s="66" t="s">
        <v>35</v>
      </c>
      <c r="BE27" s="86" t="s">
        <v>35</v>
      </c>
      <c r="BF27" s="184">
        <v>10</v>
      </c>
      <c r="BG27" s="66">
        <v>24</v>
      </c>
      <c r="BH27" s="66">
        <v>32</v>
      </c>
      <c r="BI27" s="86">
        <v>32</v>
      </c>
      <c r="CJ27" s="230" t="e">
        <f>IF(AND(CJ22&lt;=CJ25,CJ25&lt;=CK22),"ü","")</f>
        <v>#REF!</v>
      </c>
      <c r="CK27" s="231"/>
      <c r="CL27" s="230" t="e">
        <f>IF(AND(CL22&lt;=CL25,CL25&lt;=CM22),"ü","")</f>
        <v>#REF!</v>
      </c>
      <c r="CM27" s="231"/>
      <c r="CN27" s="230" t="e">
        <f>IF(AND(CN22&lt;=CN25,CN25&lt;=CO22),"ü","")</f>
        <v>#REF!</v>
      </c>
      <c r="CO27" s="231"/>
      <c r="CQ27" s="230" t="e">
        <f>IF(AND(CQ22&lt;=CQ25,CQ25&lt;=CR22),"ü","")</f>
        <v>#REF!</v>
      </c>
      <c r="CR27" s="231"/>
      <c r="CS27" s="230" t="e">
        <f>IF(AND(CS22&lt;=CS25,CS25&lt;=CT22),"ü","")</f>
        <v>#REF!</v>
      </c>
      <c r="CT27" s="231"/>
      <c r="CU27" s="230" t="e">
        <f>IF(AND(CU22&lt;=CU25,CU25&lt;=CV22),"ü","")</f>
        <v>#REF!</v>
      </c>
      <c r="CV27" s="231"/>
      <c r="CX27" s="230" t="e">
        <f>IF(AND(CX22&lt;=CX25,CX25&lt;=CY22),"ü","")</f>
        <v>#REF!</v>
      </c>
      <c r="CY27" s="231"/>
      <c r="CZ27" s="230" t="e">
        <f>IF(AND(CZ22&lt;=CZ25,CZ25&lt;=DA22),"ü","")</f>
        <v>#REF!</v>
      </c>
      <c r="DA27" s="231"/>
      <c r="DB27" s="230" t="e">
        <f>IF(AND(DB22&lt;=DB25,DB25&lt;=DC22),"ü","")</f>
        <v>#REF!</v>
      </c>
      <c r="DC27" s="231"/>
      <c r="DE27" s="230" t="e">
        <f>IF(AND(DE22&lt;=DE25,DE25&lt;=DF22),"ü","")</f>
        <v>#REF!</v>
      </c>
      <c r="DF27" s="231"/>
      <c r="DG27" s="230" t="e">
        <f>IF(AND(DG22&lt;=DG25,DG25&lt;=DH22),"ü","")</f>
        <v>#REF!</v>
      </c>
      <c r="DH27" s="231"/>
      <c r="DI27" s="230" t="e">
        <f>IF(AND(DI22&lt;=DI25,DI25&lt;=DJ22),"ü","")</f>
        <v>#REF!</v>
      </c>
      <c r="DJ27" s="231"/>
    </row>
    <row r="28" spans="1:236" ht="11.1" customHeight="1" thickTop="1" thickBot="1" x14ac:dyDescent="0.3">
      <c r="A28" s="3"/>
      <c r="B28" s="3"/>
      <c r="C28" s="3"/>
      <c r="E28" s="37">
        <v>7</v>
      </c>
      <c r="F28" s="15" t="str">
        <f t="shared" si="22"/>
        <v>Fenerbahçe A.Ş.</v>
      </c>
      <c r="G28" s="72"/>
      <c r="H28" s="73"/>
      <c r="I28" s="15" t="str">
        <f t="shared" si="23"/>
        <v>Trabzonspor A.Ş.</v>
      </c>
      <c r="J28" s="72"/>
      <c r="K28" s="73"/>
      <c r="L28" s="1" t="s">
        <v>54</v>
      </c>
      <c r="M28" s="18">
        <f t="shared" si="24"/>
        <v>0</v>
      </c>
      <c r="O28" s="45" t="s">
        <v>57</v>
      </c>
      <c r="P28" s="46"/>
      <c r="Q28" s="47"/>
      <c r="R28" s="48"/>
      <c r="T28" s="37">
        <v>7</v>
      </c>
      <c r="U28" s="55"/>
      <c r="V28" s="56"/>
      <c r="X28" s="60"/>
      <c r="Y28" s="61"/>
      <c r="Z28" s="62"/>
      <c r="AB28" s="60"/>
      <c r="AC28" s="61"/>
      <c r="AD28" s="62"/>
      <c r="AF28" s="60"/>
      <c r="AG28" s="61"/>
      <c r="AH28" s="62"/>
      <c r="AJ28" s="60"/>
      <c r="AK28" s="61"/>
      <c r="AL28" s="62"/>
      <c r="AT28" s="182">
        <v>1</v>
      </c>
      <c r="AU28" s="215" t="s">
        <v>24</v>
      </c>
      <c r="AV28" s="10" t="s">
        <v>121</v>
      </c>
      <c r="AW28" s="178">
        <v>1</v>
      </c>
      <c r="AX28" s="96">
        <v>69</v>
      </c>
      <c r="AY28" s="66">
        <v>21</v>
      </c>
      <c r="AZ28" s="216">
        <v>10</v>
      </c>
      <c r="BA28" s="219">
        <v>69</v>
      </c>
      <c r="BB28" s="96" t="s">
        <v>48</v>
      </c>
      <c r="BC28" s="66" t="s">
        <v>47</v>
      </c>
      <c r="BD28" s="66" t="s">
        <v>35</v>
      </c>
      <c r="BE28" s="86" t="s">
        <v>48</v>
      </c>
      <c r="BF28" s="184">
        <v>3</v>
      </c>
      <c r="BG28" s="66">
        <v>35</v>
      </c>
      <c r="BH28" s="66">
        <v>44</v>
      </c>
      <c r="BI28" s="86">
        <v>3</v>
      </c>
      <c r="CJ28" s="230" t="e">
        <f>IF(AND(CJ23&lt;=CJ25,CJ25&lt;=CK23),"ü","")</f>
        <v>#REF!</v>
      </c>
      <c r="CK28" s="231"/>
      <c r="CL28" s="230" t="e">
        <f>IF(AND(CL23&lt;=CL25,CL25&lt;=CM23),"ü","")</f>
        <v>#REF!</v>
      </c>
      <c r="CM28" s="231"/>
      <c r="CN28" s="230" t="e">
        <f>IF(AND(CN23&lt;=CN25,CN25&lt;=CO23),"ü","")</f>
        <v>#REF!</v>
      </c>
      <c r="CO28" s="231"/>
      <c r="CQ28" s="230" t="e">
        <f>IF(AND(CQ23&lt;=CQ25,CQ25&lt;=CR23),"ü","")</f>
        <v>#REF!</v>
      </c>
      <c r="CR28" s="231"/>
      <c r="CS28" s="230" t="e">
        <f>IF(AND(CS23&lt;=CS25,CS25&lt;=CT23),"ü","")</f>
        <v>#REF!</v>
      </c>
      <c r="CT28" s="231"/>
      <c r="CU28" s="230" t="e">
        <f>IF(AND(CU23&lt;=CU25,CU25&lt;=CV23),"ü","")</f>
        <v>#REF!</v>
      </c>
      <c r="CV28" s="231"/>
      <c r="CX28" s="230" t="e">
        <f>IF(AND(CX23&lt;=CX25,CX25&lt;=CY23),"ü","")</f>
        <v>#REF!</v>
      </c>
      <c r="CY28" s="231"/>
      <c r="CZ28" s="230" t="e">
        <f>IF(AND(CZ23&lt;=CZ25,CZ25&lt;=DA23),"ü","")</f>
        <v>#REF!</v>
      </c>
      <c r="DA28" s="231"/>
      <c r="DB28" s="230" t="e">
        <f>IF(AND(DB23&lt;=DB25,DB25&lt;=DC23),"ü","")</f>
        <v>#REF!</v>
      </c>
      <c r="DC28" s="231"/>
      <c r="DE28" s="230" t="e">
        <f>IF(AND(DE23&lt;=DE25,DE25&lt;=DF23),"ü","")</f>
        <v>#REF!</v>
      </c>
      <c r="DF28" s="231"/>
      <c r="DG28" s="230" t="e">
        <f>IF(AND(DG23&lt;=DG25,DG25&lt;=DH23),"ü","")</f>
        <v>#REF!</v>
      </c>
      <c r="DH28" s="231"/>
      <c r="DI28" s="230" t="e">
        <f>IF(AND(DI23&lt;=DI25,DI25&lt;=DJ23),"ü","")</f>
        <v>#REF!</v>
      </c>
      <c r="DJ28" s="231"/>
    </row>
    <row r="29" spans="1:236" ht="11.1" customHeight="1" thickTop="1" thickBot="1" x14ac:dyDescent="0.3">
      <c r="A29" s="3"/>
      <c r="B29" s="3"/>
      <c r="C29" s="3"/>
      <c r="E29" s="37">
        <v>8</v>
      </c>
      <c r="F29" s="15" t="str">
        <f t="shared" si="22"/>
        <v>Beşiktaş A.Ş.</v>
      </c>
      <c r="G29" s="72"/>
      <c r="H29" s="73"/>
      <c r="I29" s="15" t="str">
        <f t="shared" si="23"/>
        <v>M.Başakşehir</v>
      </c>
      <c r="J29" s="72"/>
      <c r="K29" s="73"/>
      <c r="L29" s="1" t="s">
        <v>54</v>
      </c>
      <c r="M29" s="18">
        <f t="shared" si="24"/>
        <v>0</v>
      </c>
      <c r="O29" s="21" t="s">
        <v>56</v>
      </c>
      <c r="P29" s="49"/>
      <c r="Q29" s="44"/>
      <c r="R29" s="43"/>
      <c r="T29" s="37">
        <v>8</v>
      </c>
      <c r="U29" s="55"/>
      <c r="V29" s="56"/>
      <c r="X29" s="60"/>
      <c r="Y29" s="61"/>
      <c r="Z29" s="62"/>
      <c r="AB29" s="60"/>
      <c r="AC29" s="61"/>
      <c r="AD29" s="62"/>
      <c r="AF29" s="60"/>
      <c r="AG29" s="61"/>
      <c r="AH29" s="62"/>
      <c r="AJ29" s="60"/>
      <c r="AK29" s="61"/>
      <c r="AL29" s="62"/>
      <c r="AT29" s="182">
        <v>1</v>
      </c>
      <c r="AU29" s="215" t="s">
        <v>11</v>
      </c>
      <c r="AV29" s="10" t="s">
        <v>12</v>
      </c>
      <c r="AW29" s="178">
        <v>0</v>
      </c>
      <c r="AX29" s="96">
        <v>31</v>
      </c>
      <c r="AY29" s="66">
        <v>30</v>
      </c>
      <c r="AZ29" s="216">
        <v>39</v>
      </c>
      <c r="BA29" s="219">
        <v>30</v>
      </c>
      <c r="BB29" s="96" t="s">
        <v>47</v>
      </c>
      <c r="BC29" s="66" t="s">
        <v>35</v>
      </c>
      <c r="BD29" s="66" t="s">
        <v>48</v>
      </c>
      <c r="BE29" s="86" t="s">
        <v>35</v>
      </c>
      <c r="BF29" s="184">
        <v>17</v>
      </c>
      <c r="BG29" s="66">
        <v>19</v>
      </c>
      <c r="BH29" s="66">
        <v>15</v>
      </c>
      <c r="BI29" s="86">
        <v>19</v>
      </c>
    </row>
    <row r="30" spans="1:236" ht="11.1" customHeight="1" thickTop="1" thickBot="1" x14ac:dyDescent="0.3">
      <c r="A30" s="3"/>
      <c r="B30" s="3"/>
      <c r="C30" s="3"/>
      <c r="E30" s="37">
        <v>9</v>
      </c>
      <c r="F30" s="15" t="str">
        <f t="shared" si="22"/>
        <v>Gaziantep F.K. A.Ş.</v>
      </c>
      <c r="G30" s="72"/>
      <c r="H30" s="73"/>
      <c r="I30" s="15" t="str">
        <f t="shared" si="23"/>
        <v>Hatayspor</v>
      </c>
      <c r="J30" s="72"/>
      <c r="K30" s="73"/>
      <c r="L30" s="1" t="s">
        <v>54</v>
      </c>
      <c r="M30" s="18">
        <f t="shared" si="24"/>
        <v>0</v>
      </c>
      <c r="T30" s="37">
        <v>9</v>
      </c>
      <c r="U30" s="55"/>
      <c r="V30" s="56"/>
      <c r="X30" s="60"/>
      <c r="Y30" s="61"/>
      <c r="Z30" s="62"/>
      <c r="AB30" s="60"/>
      <c r="AC30" s="61"/>
      <c r="AD30" s="62"/>
      <c r="AF30" s="60"/>
      <c r="AG30" s="61"/>
      <c r="AH30" s="62"/>
      <c r="AJ30" s="60"/>
      <c r="AK30" s="61"/>
      <c r="AL30" s="62"/>
      <c r="AT30" s="182">
        <v>1</v>
      </c>
      <c r="AU30" s="215" t="s">
        <v>20</v>
      </c>
      <c r="AV30" s="10" t="s">
        <v>140</v>
      </c>
      <c r="AW30" s="178">
        <v>2</v>
      </c>
      <c r="AX30" s="96">
        <v>62</v>
      </c>
      <c r="AY30" s="66">
        <v>23</v>
      </c>
      <c r="AZ30" s="216">
        <v>15</v>
      </c>
      <c r="BA30" s="219">
        <v>15</v>
      </c>
      <c r="BB30" s="96" t="s">
        <v>48</v>
      </c>
      <c r="BC30" s="66" t="s">
        <v>47</v>
      </c>
      <c r="BD30" s="66" t="s">
        <v>35</v>
      </c>
      <c r="BE30" s="86" t="s">
        <v>35</v>
      </c>
      <c r="BF30" s="184">
        <v>4</v>
      </c>
      <c r="BG30" s="66">
        <v>32</v>
      </c>
      <c r="BH30" s="66">
        <v>41</v>
      </c>
      <c r="BI30" s="86">
        <v>41</v>
      </c>
      <c r="CI30" s="135">
        <f>COUNTIF(BB3:BB17,"F")</f>
        <v>12</v>
      </c>
      <c r="CJ30" s="136">
        <f>COUNTIFS(AX3:AX17,"&lt;50",AZ3:AZ17,"&lt;50")</f>
        <v>8</v>
      </c>
      <c r="CK30" s="136">
        <f>COUNTIF(BD3:BD17,"F")</f>
        <v>3</v>
      </c>
      <c r="CL30" s="136">
        <f>COUNTIF(AW3:AW17,1)</f>
        <v>6</v>
      </c>
      <c r="CM30" s="136">
        <f>COUNTIF(AW3:AW17,0)</f>
        <v>5</v>
      </c>
      <c r="CN30" s="136">
        <f>COUNTIF(AW3:AW17,2)</f>
        <v>4</v>
      </c>
      <c r="CO30" s="136">
        <f>COUNTIF(BE3:BE17,"F")</f>
        <v>4</v>
      </c>
      <c r="CP30" s="136">
        <f>COUNTIF(BE3:BE17,"P")</f>
        <v>5</v>
      </c>
      <c r="CQ30" s="136">
        <f>COUNTIF(BE3:BE17,"S")</f>
        <v>6</v>
      </c>
      <c r="CR30" s="136">
        <f>COUNTIFS($BB$3:$BB$17,"F",$BE$3:$BE$17,"F")</f>
        <v>4</v>
      </c>
      <c r="CS30" s="136">
        <f>COUNTIFS($AX$3:$AX$17,"&lt;50",$AZ$3:$AZ$17,"&lt;50",$AW$3:$AW$17,0)</f>
        <v>3</v>
      </c>
      <c r="CT30" s="136">
        <f>COUNTIFS($BD$3:$BD$17,"F",$BE$3:$BE$17,"F")</f>
        <v>0</v>
      </c>
      <c r="CU30" s="136">
        <f>Yinelenen_bul(1,Formüller!$E$4:$S$4)</f>
        <v>2</v>
      </c>
      <c r="CV30" s="136">
        <f>Yinelenen_bul(0,Formüller!$E$4:$S$4)</f>
        <v>3</v>
      </c>
      <c r="CW30" s="136">
        <f>Yinelenen_bul(2,Formüller!$E$4:$S$4)</f>
        <v>2</v>
      </c>
      <c r="CX30" s="136">
        <f>SMALL($BI$3:$BI$17,1)</f>
        <v>1</v>
      </c>
      <c r="CY30" s="136">
        <f>SMALL($BI$3:$BI$17,2)</f>
        <v>4</v>
      </c>
      <c r="CZ30" s="136">
        <f>SMALL($BI$3:$BI$17,3)</f>
        <v>9</v>
      </c>
      <c r="DA30" s="136">
        <f>SMALL($BI$3:$BI$17,4)</f>
        <v>15</v>
      </c>
      <c r="DB30" s="136">
        <f>SMALL($BI$3:$BI$17,5)</f>
        <v>17</v>
      </c>
      <c r="DC30" s="136">
        <f>SMALL($BI$3:$BI$17,6)</f>
        <v>20</v>
      </c>
      <c r="DD30" s="136">
        <f>SMALL($BI$3:$BI$17,7)</f>
        <v>21</v>
      </c>
      <c r="DE30" s="136">
        <f>SMALL($BI$3:$BI$17,8)</f>
        <v>21</v>
      </c>
      <c r="DF30" s="136">
        <f>SMALL($BI$3:$BI$17,9)</f>
        <v>24</v>
      </c>
      <c r="DG30" s="136">
        <f>SMALL($BI$3:$BI$17,10)</f>
        <v>32</v>
      </c>
      <c r="DH30" s="136">
        <f>SMALL($BI$3:$BI$17,11)</f>
        <v>32</v>
      </c>
      <c r="DI30" s="136">
        <f>SMALL($BI$3:$BI$17,12)</f>
        <v>32</v>
      </c>
      <c r="DJ30" s="136">
        <f>SMALL($BI$3:$BI$17,13)</f>
        <v>39</v>
      </c>
      <c r="DK30" s="136">
        <f>SMALL($BI$3:$BI$17,14)</f>
        <v>42</v>
      </c>
      <c r="DL30" s="137">
        <f>SMALL($BI$3:$BI$17,15)</f>
        <v>43</v>
      </c>
    </row>
    <row r="31" spans="1:236" ht="11.1" customHeight="1" thickTop="1" thickBot="1" x14ac:dyDescent="0.3">
      <c r="A31" s="3"/>
      <c r="B31" s="3"/>
      <c r="C31" s="3"/>
      <c r="E31" s="37">
        <v>10</v>
      </c>
      <c r="F31" s="15" t="str">
        <f t="shared" si="22"/>
        <v>Kayserispor</v>
      </c>
      <c r="G31" s="72"/>
      <c r="H31" s="73"/>
      <c r="I31" s="15" t="str">
        <f t="shared" si="23"/>
        <v>Alanyaspor</v>
      </c>
      <c r="J31" s="72"/>
      <c r="K31" s="73"/>
      <c r="L31" s="1" t="s">
        <v>54</v>
      </c>
      <c r="M31" s="18">
        <f t="shared" si="24"/>
        <v>2</v>
      </c>
      <c r="O31" s="276"/>
      <c r="P31" s="30"/>
      <c r="Q31" s="30"/>
      <c r="R31" s="31"/>
      <c r="T31" s="37">
        <v>10</v>
      </c>
      <c r="U31" s="55"/>
      <c r="V31" s="56"/>
      <c r="X31" s="60"/>
      <c r="Y31" s="61"/>
      <c r="Z31" s="62"/>
      <c r="AB31" s="60"/>
      <c r="AC31" s="61"/>
      <c r="AD31" s="62"/>
      <c r="AF31" s="60"/>
      <c r="AG31" s="61"/>
      <c r="AH31" s="62"/>
      <c r="AJ31" s="60"/>
      <c r="AK31" s="61"/>
      <c r="AL31" s="62"/>
      <c r="AT31" s="182">
        <v>1</v>
      </c>
      <c r="AU31" s="215" t="s">
        <v>50</v>
      </c>
      <c r="AV31" s="10" t="s">
        <v>51</v>
      </c>
      <c r="AW31" s="178">
        <v>1</v>
      </c>
      <c r="AX31" s="96">
        <v>52</v>
      </c>
      <c r="AY31" s="66">
        <v>25</v>
      </c>
      <c r="AZ31" s="216">
        <v>23</v>
      </c>
      <c r="BA31" s="219">
        <v>52</v>
      </c>
      <c r="BB31" s="96" t="s">
        <v>48</v>
      </c>
      <c r="BC31" s="66" t="s">
        <v>47</v>
      </c>
      <c r="BD31" s="66" t="s">
        <v>35</v>
      </c>
      <c r="BE31" s="86" t="s">
        <v>48</v>
      </c>
      <c r="BF31" s="184">
        <v>9</v>
      </c>
      <c r="BG31" s="66">
        <v>26</v>
      </c>
      <c r="BH31" s="66">
        <v>32</v>
      </c>
      <c r="BI31" s="86">
        <v>9</v>
      </c>
      <c r="CB31" s="2"/>
      <c r="CC31" s="2"/>
      <c r="CD31" s="2"/>
    </row>
    <row r="32" spans="1:236" ht="11.1" customHeight="1" thickTop="1" thickBot="1" x14ac:dyDescent="0.3">
      <c r="A32" s="3"/>
      <c r="B32" s="3"/>
      <c r="C32" s="3"/>
      <c r="E32" s="37">
        <v>11</v>
      </c>
      <c r="F32" s="15" t="str">
        <f t="shared" si="22"/>
        <v>Bayern Münih</v>
      </c>
      <c r="G32" s="72"/>
      <c r="H32" s="73"/>
      <c r="I32" s="15" t="str">
        <f t="shared" si="23"/>
        <v>B. Leverkusen</v>
      </c>
      <c r="J32" s="72"/>
      <c r="K32" s="73"/>
      <c r="L32" s="1" t="s">
        <v>54</v>
      </c>
      <c r="M32" s="18">
        <f t="shared" si="24"/>
        <v>0</v>
      </c>
      <c r="O32" s="277"/>
      <c r="P32" s="32" t="s">
        <v>44</v>
      </c>
      <c r="Q32" s="32" t="s">
        <v>45</v>
      </c>
      <c r="R32" s="33" t="s">
        <v>46</v>
      </c>
      <c r="T32" s="37">
        <v>11</v>
      </c>
      <c r="U32" s="55"/>
      <c r="V32" s="56"/>
      <c r="X32" s="60"/>
      <c r="Y32" s="61"/>
      <c r="Z32" s="62"/>
      <c r="AB32" s="60"/>
      <c r="AC32" s="61"/>
      <c r="AD32" s="62"/>
      <c r="AF32" s="60"/>
      <c r="AG32" s="61"/>
      <c r="AH32" s="62"/>
      <c r="AJ32" s="60"/>
      <c r="AK32" s="61"/>
      <c r="AL32" s="62"/>
      <c r="AT32" s="182">
        <v>1</v>
      </c>
      <c r="AU32" s="215" t="s">
        <v>29</v>
      </c>
      <c r="AV32" s="10" t="s">
        <v>141</v>
      </c>
      <c r="AW32" s="178">
        <v>1</v>
      </c>
      <c r="AX32" s="96">
        <v>71</v>
      </c>
      <c r="AY32" s="66">
        <v>15</v>
      </c>
      <c r="AZ32" s="216">
        <v>14</v>
      </c>
      <c r="BA32" s="219">
        <v>71</v>
      </c>
      <c r="BB32" s="96" t="s">
        <v>48</v>
      </c>
      <c r="BC32" s="66" t="s">
        <v>47</v>
      </c>
      <c r="BD32" s="66" t="s">
        <v>35</v>
      </c>
      <c r="BE32" s="86" t="s">
        <v>48</v>
      </c>
      <c r="BF32" s="184">
        <v>2</v>
      </c>
      <c r="BG32" s="66">
        <v>41</v>
      </c>
      <c r="BH32" s="66">
        <v>43</v>
      </c>
      <c r="BI32" s="86">
        <v>2</v>
      </c>
      <c r="CF32" s="197"/>
      <c r="CG32" s="198"/>
      <c r="CH32" s="199"/>
      <c r="CI32" s="188" t="s">
        <v>81</v>
      </c>
      <c r="CJ32" s="116"/>
      <c r="CK32" s="189"/>
      <c r="CL32" s="116">
        <v>102</v>
      </c>
      <c r="CM32" s="116"/>
      <c r="CN32" s="116"/>
      <c r="CO32" s="188" t="s">
        <v>8</v>
      </c>
      <c r="CP32" s="116"/>
      <c r="CQ32" s="189"/>
      <c r="CR32" s="116" t="s">
        <v>82</v>
      </c>
      <c r="CS32" s="116"/>
      <c r="CT32" s="116"/>
      <c r="CU32" s="188" t="s">
        <v>58</v>
      </c>
      <c r="CV32" s="116"/>
      <c r="CW32" s="189"/>
      <c r="CX32" s="116" t="s">
        <v>84</v>
      </c>
      <c r="CY32" s="116"/>
      <c r="CZ32" s="116"/>
      <c r="DA32" s="116"/>
      <c r="DB32" s="116"/>
      <c r="DC32" s="116"/>
      <c r="DD32" s="116"/>
      <c r="DE32" s="116"/>
      <c r="DF32" s="116"/>
      <c r="DG32" s="116"/>
      <c r="DH32" s="116"/>
      <c r="DI32" s="116"/>
      <c r="DJ32" s="116"/>
      <c r="DK32" s="116"/>
      <c r="DL32" s="117"/>
      <c r="DU32" s="213" t="str">
        <f>IF(MIN(Dinamik[Hafta])=1,"ü","")</f>
        <v>ü</v>
      </c>
      <c r="DV32" s="214"/>
      <c r="DW32" s="170">
        <f>CI30</f>
        <v>12</v>
      </c>
      <c r="DX32" s="171">
        <f>CJ30</f>
        <v>8</v>
      </c>
      <c r="DY32" s="172">
        <f>CK30</f>
        <v>3</v>
      </c>
      <c r="DZ32" s="170" t="s">
        <v>139</v>
      </c>
      <c r="EA32" s="171"/>
      <c r="EB32" s="171"/>
      <c r="EC32" s="171"/>
      <c r="ED32" s="171"/>
      <c r="EE32" s="171"/>
      <c r="EF32" s="171"/>
      <c r="EG32" s="171"/>
      <c r="EH32" s="171"/>
      <c r="EI32" s="171"/>
      <c r="EJ32" s="171"/>
      <c r="EK32" s="171"/>
      <c r="EL32" s="171"/>
      <c r="EM32" s="171"/>
      <c r="EN32" s="172"/>
      <c r="EO32" s="173"/>
      <c r="EP32" s="174"/>
      <c r="EQ32" s="174"/>
      <c r="ER32" s="174"/>
      <c r="ES32" s="174"/>
      <c r="ET32" s="174"/>
      <c r="EU32" s="174"/>
      <c r="EV32" s="174"/>
      <c r="EW32" s="174"/>
      <c r="EX32" s="174"/>
      <c r="EY32" s="174"/>
      <c r="EZ32" s="174"/>
      <c r="FA32" s="174"/>
      <c r="FB32" s="175"/>
    </row>
    <row r="33" spans="1:158" ht="11.1" customHeight="1" thickTop="1" x14ac:dyDescent="0.2">
      <c r="A33" s="3"/>
      <c r="B33" s="3"/>
      <c r="C33" s="3"/>
      <c r="E33" s="37">
        <v>12</v>
      </c>
      <c r="F33" s="15" t="str">
        <f t="shared" si="22"/>
        <v>Liverpool</v>
      </c>
      <c r="G33" s="72"/>
      <c r="H33" s="73"/>
      <c r="I33" s="15" t="str">
        <f t="shared" si="23"/>
        <v>West Ham</v>
      </c>
      <c r="J33" s="72"/>
      <c r="K33" s="73"/>
      <c r="L33" s="1" t="s">
        <v>54</v>
      </c>
      <c r="M33" s="18">
        <f t="shared" si="24"/>
        <v>1</v>
      </c>
      <c r="O33" s="88" t="s">
        <v>57</v>
      </c>
      <c r="P33" s="46"/>
      <c r="Q33" s="47"/>
      <c r="R33" s="48"/>
      <c r="T33" s="37">
        <v>12</v>
      </c>
      <c r="U33" s="55"/>
      <c r="V33" s="56"/>
      <c r="X33" s="60"/>
      <c r="Y33" s="61"/>
      <c r="Z33" s="62"/>
      <c r="AB33" s="60"/>
      <c r="AC33" s="61"/>
      <c r="AD33" s="62"/>
      <c r="AF33" s="60"/>
      <c r="AG33" s="61"/>
      <c r="AH33" s="62"/>
      <c r="AJ33" s="60"/>
      <c r="AK33" s="61"/>
      <c r="AL33" s="62"/>
      <c r="AT33" s="182">
        <v>1</v>
      </c>
      <c r="AU33" s="215" t="s">
        <v>89</v>
      </c>
      <c r="AV33" s="10" t="s">
        <v>30</v>
      </c>
      <c r="AW33" s="178">
        <v>2</v>
      </c>
      <c r="AX33" s="96">
        <v>29</v>
      </c>
      <c r="AY33" s="66">
        <v>31</v>
      </c>
      <c r="AZ33" s="216">
        <v>40</v>
      </c>
      <c r="BA33" s="219">
        <v>40</v>
      </c>
      <c r="BB33" s="96" t="s">
        <v>35</v>
      </c>
      <c r="BC33" s="66" t="s">
        <v>47</v>
      </c>
      <c r="BD33" s="66" t="s">
        <v>48</v>
      </c>
      <c r="BE33" s="86" t="s">
        <v>48</v>
      </c>
      <c r="BF33" s="184">
        <v>21</v>
      </c>
      <c r="BG33" s="66">
        <v>17</v>
      </c>
      <c r="BH33" s="66">
        <v>13</v>
      </c>
      <c r="BI33" s="86">
        <v>13</v>
      </c>
      <c r="CB33" s="255" t="s">
        <v>147</v>
      </c>
      <c r="CC33" s="255" t="s">
        <v>148</v>
      </c>
      <c r="CD33" s="255" t="s">
        <v>147</v>
      </c>
      <c r="CF33" s="177" t="s">
        <v>65</v>
      </c>
      <c r="CG33" s="165" t="s">
        <v>68</v>
      </c>
      <c r="CH33" s="167" t="s">
        <v>86</v>
      </c>
      <c r="CI33" s="165" t="s">
        <v>44</v>
      </c>
      <c r="CJ33" s="166" t="s">
        <v>45</v>
      </c>
      <c r="CK33" s="167" t="s">
        <v>46</v>
      </c>
      <c r="CL33" s="168" t="s">
        <v>69</v>
      </c>
      <c r="CM33" s="166" t="s">
        <v>70</v>
      </c>
      <c r="CN33" s="200" t="s">
        <v>71</v>
      </c>
      <c r="CO33" s="165" t="s">
        <v>72</v>
      </c>
      <c r="CP33" s="166" t="s">
        <v>73</v>
      </c>
      <c r="CQ33" s="167" t="s">
        <v>74</v>
      </c>
      <c r="CR33" s="168" t="s">
        <v>78</v>
      </c>
      <c r="CS33" s="166" t="s">
        <v>79</v>
      </c>
      <c r="CT33" s="200" t="s">
        <v>80</v>
      </c>
      <c r="CU33" s="165" t="s">
        <v>75</v>
      </c>
      <c r="CV33" s="166" t="s">
        <v>76</v>
      </c>
      <c r="CW33" s="167" t="s">
        <v>77</v>
      </c>
      <c r="CX33" s="168" t="s">
        <v>92</v>
      </c>
      <c r="CY33" s="166" t="s">
        <v>93</v>
      </c>
      <c r="CZ33" s="166" t="s">
        <v>94</v>
      </c>
      <c r="DA33" s="166" t="s">
        <v>95</v>
      </c>
      <c r="DB33" s="166" t="s">
        <v>96</v>
      </c>
      <c r="DC33" s="166" t="s">
        <v>97</v>
      </c>
      <c r="DD33" s="166" t="s">
        <v>98</v>
      </c>
      <c r="DE33" s="166" t="s">
        <v>99</v>
      </c>
      <c r="DF33" s="166" t="s">
        <v>91</v>
      </c>
      <c r="DG33" s="166" t="s">
        <v>100</v>
      </c>
      <c r="DH33" s="166" t="s">
        <v>101</v>
      </c>
      <c r="DI33" s="166" t="s">
        <v>102</v>
      </c>
      <c r="DJ33" s="166" t="s">
        <v>103</v>
      </c>
      <c r="DK33" s="166" t="s">
        <v>104</v>
      </c>
      <c r="DL33" s="169" t="s">
        <v>105</v>
      </c>
      <c r="DU33" s="201" t="s">
        <v>65</v>
      </c>
      <c r="DV33" s="202" t="s">
        <v>68</v>
      </c>
      <c r="DW33" s="168" t="s">
        <v>44</v>
      </c>
      <c r="DX33" s="166" t="s">
        <v>45</v>
      </c>
      <c r="DY33" s="167" t="s">
        <v>46</v>
      </c>
      <c r="DZ33" s="165" t="s">
        <v>92</v>
      </c>
      <c r="EA33" s="166" t="s">
        <v>93</v>
      </c>
      <c r="EB33" s="166" t="s">
        <v>94</v>
      </c>
      <c r="EC33" s="166" t="s">
        <v>95</v>
      </c>
      <c r="ED33" s="166" t="s">
        <v>96</v>
      </c>
      <c r="EE33" s="166" t="s">
        <v>97</v>
      </c>
      <c r="EF33" s="166" t="s">
        <v>98</v>
      </c>
      <c r="EG33" s="166" t="s">
        <v>99</v>
      </c>
      <c r="EH33" s="166" t="s">
        <v>91</v>
      </c>
      <c r="EI33" s="166" t="s">
        <v>100</v>
      </c>
      <c r="EJ33" s="166" t="s">
        <v>101</v>
      </c>
      <c r="EK33" s="166" t="s">
        <v>102</v>
      </c>
      <c r="EL33" s="166" t="s">
        <v>103</v>
      </c>
      <c r="EM33" s="166" t="s">
        <v>104</v>
      </c>
      <c r="EN33" s="167" t="s">
        <v>105</v>
      </c>
      <c r="EO33" s="168" t="s">
        <v>124</v>
      </c>
      <c r="EP33" s="166" t="s">
        <v>125</v>
      </c>
      <c r="EQ33" s="166" t="s">
        <v>126</v>
      </c>
      <c r="ER33" s="166" t="s">
        <v>127</v>
      </c>
      <c r="ES33" s="166" t="s">
        <v>128</v>
      </c>
      <c r="ET33" s="166" t="s">
        <v>129</v>
      </c>
      <c r="EU33" s="166" t="s">
        <v>130</v>
      </c>
      <c r="EV33" s="166" t="s">
        <v>131</v>
      </c>
      <c r="EW33" s="166" t="s">
        <v>132</v>
      </c>
      <c r="EX33" s="166" t="s">
        <v>133</v>
      </c>
      <c r="EY33" s="166" t="s">
        <v>134</v>
      </c>
      <c r="EZ33" s="166" t="s">
        <v>135</v>
      </c>
      <c r="FA33" s="166" t="s">
        <v>136</v>
      </c>
      <c r="FB33" s="169" t="s">
        <v>137</v>
      </c>
    </row>
    <row r="34" spans="1:158" ht="11.1" customHeight="1" thickBot="1" x14ac:dyDescent="0.3">
      <c r="A34" s="3"/>
      <c r="B34" s="3"/>
      <c r="C34" s="3"/>
      <c r="E34" s="37">
        <v>13</v>
      </c>
      <c r="F34" s="15" t="str">
        <f t="shared" si="22"/>
        <v>Manchester City</v>
      </c>
      <c r="G34" s="72"/>
      <c r="H34" s="73"/>
      <c r="I34" s="15" t="str">
        <f t="shared" si="23"/>
        <v>M. United</v>
      </c>
      <c r="J34" s="72"/>
      <c r="K34" s="73"/>
      <c r="L34" s="1" t="s">
        <v>54</v>
      </c>
      <c r="M34" s="18">
        <f t="shared" si="24"/>
        <v>1</v>
      </c>
      <c r="O34" s="21" t="s">
        <v>56</v>
      </c>
      <c r="P34" s="49"/>
      <c r="Q34" s="44"/>
      <c r="R34" s="43"/>
      <c r="T34" s="37">
        <v>13</v>
      </c>
      <c r="U34" s="55"/>
      <c r="V34" s="56"/>
      <c r="X34" s="60"/>
      <c r="Y34" s="61"/>
      <c r="Z34" s="62"/>
      <c r="AB34" s="60"/>
      <c r="AC34" s="61"/>
      <c r="AD34" s="62"/>
      <c r="AF34" s="60"/>
      <c r="AG34" s="61"/>
      <c r="AH34" s="62"/>
      <c r="AJ34" s="60"/>
      <c r="AK34" s="61"/>
      <c r="AL34" s="62"/>
      <c r="AT34" s="182">
        <v>1</v>
      </c>
      <c r="AU34" s="215" t="s">
        <v>122</v>
      </c>
      <c r="AV34" s="10" t="s">
        <v>31</v>
      </c>
      <c r="AW34" s="178">
        <v>2</v>
      </c>
      <c r="AX34" s="96">
        <v>9</v>
      </c>
      <c r="AY34" s="66">
        <v>16</v>
      </c>
      <c r="AZ34" s="216">
        <v>75</v>
      </c>
      <c r="BA34" s="219">
        <v>75</v>
      </c>
      <c r="BB34" s="96" t="s">
        <v>35</v>
      </c>
      <c r="BC34" s="66" t="s">
        <v>47</v>
      </c>
      <c r="BD34" s="66" t="s">
        <v>48</v>
      </c>
      <c r="BE34" s="86" t="s">
        <v>48</v>
      </c>
      <c r="BF34" s="184">
        <v>45</v>
      </c>
      <c r="BG34" s="66">
        <v>37</v>
      </c>
      <c r="BH34" s="66">
        <v>1</v>
      </c>
      <c r="BI34" s="86">
        <v>1</v>
      </c>
      <c r="CB34" s="255" t="s">
        <v>147</v>
      </c>
      <c r="CC34" s="255" t="s">
        <v>148</v>
      </c>
      <c r="CD34" s="255" t="s">
        <v>147</v>
      </c>
      <c r="CF34" s="139">
        <v>1</v>
      </c>
      <c r="CG34" s="144">
        <v>15</v>
      </c>
      <c r="CH34" s="176">
        <v>294</v>
      </c>
      <c r="CI34" s="143">
        <v>9</v>
      </c>
      <c r="CJ34" s="95">
        <v>5</v>
      </c>
      <c r="CK34" s="142">
        <v>6</v>
      </c>
      <c r="CL34" s="144">
        <v>5</v>
      </c>
      <c r="CM34" s="95">
        <v>3</v>
      </c>
      <c r="CN34" s="145">
        <v>7</v>
      </c>
      <c r="CO34" s="143">
        <v>9</v>
      </c>
      <c r="CP34" s="95">
        <v>1</v>
      </c>
      <c r="CQ34" s="142">
        <v>5</v>
      </c>
      <c r="CR34" s="144">
        <v>5</v>
      </c>
      <c r="CS34" s="95">
        <v>2</v>
      </c>
      <c r="CT34" s="145">
        <v>4</v>
      </c>
      <c r="CU34" s="143">
        <v>2</v>
      </c>
      <c r="CV34" s="95">
        <v>2</v>
      </c>
      <c r="CW34" s="142">
        <v>3</v>
      </c>
      <c r="CX34" s="144">
        <v>1</v>
      </c>
      <c r="CY34" s="95">
        <v>2</v>
      </c>
      <c r="CZ34" s="95">
        <v>3</v>
      </c>
      <c r="DA34" s="95">
        <v>5</v>
      </c>
      <c r="DB34" s="95">
        <v>6</v>
      </c>
      <c r="DC34" s="95">
        <v>9</v>
      </c>
      <c r="DD34" s="95">
        <v>11</v>
      </c>
      <c r="DE34" s="95">
        <v>13</v>
      </c>
      <c r="DF34" s="95">
        <v>13</v>
      </c>
      <c r="DG34" s="95">
        <v>19</v>
      </c>
      <c r="DH34" s="95">
        <v>29</v>
      </c>
      <c r="DI34" s="95">
        <v>29</v>
      </c>
      <c r="DJ34" s="95">
        <v>32</v>
      </c>
      <c r="DK34" s="95">
        <v>37</v>
      </c>
      <c r="DL34" s="138">
        <v>41</v>
      </c>
      <c r="DU34" s="203">
        <f>İstatistik[[#This Row],[Hafta]]</f>
        <v>1</v>
      </c>
      <c r="DV34" s="204">
        <f>İstatistik[[#This Row],[Tutan]]</f>
        <v>15</v>
      </c>
      <c r="DW34" s="205">
        <f>İstatistik[[#This Row],[1F]]</f>
        <v>9</v>
      </c>
      <c r="DX34" s="206">
        <f>İstatistik[[#This Row],[0F]]</f>
        <v>5</v>
      </c>
      <c r="DY34" s="207">
        <f>İstatistik[[#This Row],[2F]]</f>
        <v>6</v>
      </c>
      <c r="DZ34" s="208">
        <f>COUNTIFS(İstatistik[[#This Row],[1]:[15]],"&gt;="&amp;$DV$5,İstatistik[[#This Row],[1]:[15]],"&lt;="&amp;$DW$5)</f>
        <v>1</v>
      </c>
      <c r="EA34" s="209">
        <f>COUNTIFS(İstatistik[[#This Row],[1]:[15]],"&gt;="&amp;$DV$6,İstatistik[[#This Row],[1]:[15]],"&lt;="&amp;$DW$6)</f>
        <v>1</v>
      </c>
      <c r="EB34" s="209">
        <f>COUNTIFS(İstatistik[[#This Row],[1]:[15]],"&gt;="&amp;$DV$7,İstatistik[[#This Row],[1]:[15]],"&lt;="&amp;$DW$7)</f>
        <v>1</v>
      </c>
      <c r="EC34" s="209">
        <f>COUNTIFS(İstatistik[[#This Row],[1]:[15]],"&gt;="&amp;$DV$8,İstatistik[[#This Row],[1]:[15]],"&lt;="&amp;$DW$8)</f>
        <v>1</v>
      </c>
      <c r="ED34" s="209">
        <f>COUNTIFS(İstatistik[[#This Row],[1]:[15]],"&gt;="&amp;$DV$9,İstatistik[[#This Row],[1]:[15]],"&lt;="&amp;$DW$9)</f>
        <v>1</v>
      </c>
      <c r="EE34" s="209">
        <f>COUNTIFS(İstatistik[[#This Row],[1]:[15]],"&gt;="&amp;$DV$10,İstatistik[[#This Row],[1]:[15]],"&lt;="&amp;$DW$10)</f>
        <v>1</v>
      </c>
      <c r="EF34" s="209">
        <f>COUNTIFS(İstatistik[[#This Row],[1]:[15]],"&gt;="&amp;$DV$11,İstatistik[[#This Row],[1]:[15]],"&lt;="&amp;$DW$11)</f>
        <v>1</v>
      </c>
      <c r="EG34" s="209">
        <f>COUNTIFS(İstatistik[[#This Row],[1]:[15]],"&gt;="&amp;$DV$12,İstatistik[[#This Row],[1]:[15]],"&lt;="&amp;$DW$12)</f>
        <v>2</v>
      </c>
      <c r="EH34" s="209">
        <f>COUNTIFS(İstatistik[[#This Row],[1]:[15]],"&gt;="&amp;$DV$13,İstatistik[[#This Row],[1]:[15]],"&lt;="&amp;$DW$13)</f>
        <v>2</v>
      </c>
      <c r="EI34" s="209">
        <f>COUNTIFS(İstatistik[[#This Row],[1]:[15]],"&gt;="&amp;$DV$14,İstatistik[[#This Row],[1]:[15]],"&lt;="&amp;$DW$14)</f>
        <v>1</v>
      </c>
      <c r="EJ34" s="209">
        <f>COUNTIFS(İstatistik[[#This Row],[1]:[15]],"&gt;="&amp;$DV$15,İstatistik[[#This Row],[1]:[15]],"&lt;="&amp;$DW$15)</f>
        <v>2</v>
      </c>
      <c r="EK34" s="209">
        <f>COUNTIFS(İstatistik[[#This Row],[1]:[15]],"&gt;="&amp;$DV$16,İstatistik[[#This Row],[1]:[15]],"&lt;="&amp;$DW$16)</f>
        <v>2</v>
      </c>
      <c r="EL34" s="209">
        <f>COUNTIFS(İstatistik[[#This Row],[1]:[15]],"&gt;="&amp;$DV$17,İstatistik[[#This Row],[1]:[15]],"&lt;="&amp;$DW$17)</f>
        <v>1</v>
      </c>
      <c r="EM34" s="209">
        <f>COUNTIFS(İstatistik[[#This Row],[1]:[15]],"&gt;="&amp;$DV$18,İstatistik[[#This Row],[1]:[15]],"&lt;="&amp;$DW$18)</f>
        <v>1</v>
      </c>
      <c r="EN34" s="210">
        <f>COUNTIFS(İstatistik[[#This Row],[1]:[15]],"&gt;="&amp;$DV$19,İstatistik[[#This Row],[1]:[15]],"&lt;="&amp;$DW$19)</f>
        <v>1</v>
      </c>
      <c r="EO34" s="211"/>
      <c r="EP34" s="206"/>
      <c r="EQ34" s="206"/>
      <c r="ER34" s="206"/>
      <c r="ES34" s="206"/>
      <c r="ET34" s="206"/>
      <c r="EU34" s="206"/>
      <c r="EV34" s="206"/>
      <c r="EW34" s="206"/>
      <c r="EX34" s="206"/>
      <c r="EY34" s="206"/>
      <c r="EZ34" s="206"/>
      <c r="FA34" s="206"/>
      <c r="FB34" s="212"/>
    </row>
    <row r="35" spans="1:158" ht="11.1" customHeight="1" thickBot="1" x14ac:dyDescent="0.3">
      <c r="A35" s="3"/>
      <c r="B35" s="3"/>
      <c r="C35" s="3"/>
      <c r="E35" s="37">
        <v>14</v>
      </c>
      <c r="F35" s="15" t="str">
        <f t="shared" si="22"/>
        <v>Napoli</v>
      </c>
      <c r="G35" s="72"/>
      <c r="H35" s="73"/>
      <c r="I35" s="15" t="str">
        <f t="shared" si="23"/>
        <v>AC Milan</v>
      </c>
      <c r="J35" s="72"/>
      <c r="K35" s="73"/>
      <c r="L35" s="1" t="s">
        <v>54</v>
      </c>
      <c r="M35" s="18">
        <f t="shared" si="24"/>
        <v>2</v>
      </c>
      <c r="T35" s="37">
        <v>14</v>
      </c>
      <c r="U35" s="55"/>
      <c r="V35" s="56"/>
      <c r="X35" s="60"/>
      <c r="Y35" s="61"/>
      <c r="Z35" s="62"/>
      <c r="AB35" s="60"/>
      <c r="AC35" s="61"/>
      <c r="AD35" s="62"/>
      <c r="AF35" s="60"/>
      <c r="AG35" s="61"/>
      <c r="AH35" s="62"/>
      <c r="AJ35" s="60"/>
      <c r="AK35" s="61"/>
      <c r="AL35" s="62"/>
      <c r="AT35" s="182">
        <v>1</v>
      </c>
      <c r="AU35" s="215" t="s">
        <v>61</v>
      </c>
      <c r="AV35" s="10" t="s">
        <v>60</v>
      </c>
      <c r="AW35" s="178">
        <v>2</v>
      </c>
      <c r="AX35" s="96">
        <v>57</v>
      </c>
      <c r="AY35" s="66">
        <v>27</v>
      </c>
      <c r="AZ35" s="216">
        <v>16</v>
      </c>
      <c r="BA35" s="219">
        <v>16</v>
      </c>
      <c r="BB35" s="96" t="s">
        <v>48</v>
      </c>
      <c r="BC35" s="66" t="s">
        <v>47</v>
      </c>
      <c r="BD35" s="66" t="s">
        <v>35</v>
      </c>
      <c r="BE35" s="86" t="s">
        <v>35</v>
      </c>
      <c r="BF35" s="184">
        <v>7</v>
      </c>
      <c r="BG35" s="66">
        <v>23</v>
      </c>
      <c r="BH35" s="66">
        <v>37</v>
      </c>
      <c r="BI35" s="86">
        <v>37</v>
      </c>
      <c r="CB35" s="255"/>
      <c r="CC35" s="255"/>
      <c r="CD35" s="255" t="s">
        <v>146</v>
      </c>
    </row>
    <row r="36" spans="1:158" ht="11.1" customHeight="1" thickBot="1" x14ac:dyDescent="0.3">
      <c r="A36" s="3"/>
      <c r="B36" s="3"/>
      <c r="C36" s="3"/>
      <c r="E36" s="38">
        <v>15</v>
      </c>
      <c r="F36" s="16" t="str">
        <f t="shared" si="22"/>
        <v>Nice</v>
      </c>
      <c r="G36" s="74"/>
      <c r="H36" s="75"/>
      <c r="I36" s="16" t="str">
        <f t="shared" si="23"/>
        <v>Paris Saint Germain</v>
      </c>
      <c r="J36" s="74"/>
      <c r="K36" s="75"/>
      <c r="L36" s="1" t="s">
        <v>54</v>
      </c>
      <c r="M36" s="19">
        <f t="shared" si="24"/>
        <v>1</v>
      </c>
      <c r="O36" s="276"/>
      <c r="P36" s="30" t="s">
        <v>58</v>
      </c>
      <c r="Q36" s="30"/>
      <c r="R36" s="31"/>
      <c r="T36" s="37">
        <v>15</v>
      </c>
      <c r="U36" s="89"/>
      <c r="V36" s="90"/>
      <c r="X36" s="63"/>
      <c r="Y36" s="64"/>
      <c r="Z36" s="65"/>
      <c r="AB36" s="63"/>
      <c r="AC36" s="64"/>
      <c r="AD36" s="65"/>
      <c r="AF36" s="63"/>
      <c r="AG36" s="64"/>
      <c r="AH36" s="65"/>
      <c r="AJ36" s="63"/>
      <c r="AK36" s="64"/>
      <c r="AL36" s="65"/>
      <c r="AT36" s="183">
        <v>1</v>
      </c>
      <c r="AU36" s="217" t="s">
        <v>83</v>
      </c>
      <c r="AV36" s="179" t="s">
        <v>110</v>
      </c>
      <c r="AW36" s="181">
        <v>1</v>
      </c>
      <c r="AX36" s="187">
        <v>59</v>
      </c>
      <c r="AY36" s="180">
        <v>25</v>
      </c>
      <c r="AZ36" s="218">
        <v>16</v>
      </c>
      <c r="BA36" s="220">
        <v>59</v>
      </c>
      <c r="BB36" s="187" t="s">
        <v>48</v>
      </c>
      <c r="BC36" s="180" t="s">
        <v>47</v>
      </c>
      <c r="BD36" s="180" t="s">
        <v>35</v>
      </c>
      <c r="BE36" s="186" t="s">
        <v>48</v>
      </c>
      <c r="BF36" s="185">
        <v>6</v>
      </c>
      <c r="BG36" s="180">
        <v>26</v>
      </c>
      <c r="BH36" s="180">
        <v>37</v>
      </c>
      <c r="BI36" s="186">
        <v>6</v>
      </c>
      <c r="CB36" s="255"/>
      <c r="CC36" s="255"/>
      <c r="CD36" s="255"/>
    </row>
    <row r="37" spans="1:158" ht="11.1" customHeight="1" thickBot="1" x14ac:dyDescent="0.3">
      <c r="A37" s="3"/>
      <c r="B37" s="3"/>
      <c r="C37" s="3"/>
      <c r="O37" s="277"/>
      <c r="P37" s="32">
        <v>1</v>
      </c>
      <c r="Q37" s="32">
        <v>0</v>
      </c>
      <c r="R37" s="33">
        <v>2</v>
      </c>
      <c r="T37" s="278"/>
      <c r="U37" s="92"/>
      <c r="V37" s="93"/>
      <c r="X37" s="52" t="s">
        <v>87</v>
      </c>
      <c r="Y37" s="76">
        <f>IF(COUNTIF(X22:Z22,"X")&gt;=1,1,0)+IF(COUNTIF(X23:Z23,"X")&gt;=1,1,0)+IF(COUNTIF(X24:Z24,"X")&gt;=1,1,0)+IF(COUNTIF(X25:Z25,"X")&gt;=1,1,0)+IF(COUNTIF(X26:Z26,"X")&gt;=1,1,0)+IF(COUNTIF(X27:Z27,"X")&gt;=1,1,0)+IF(COUNTIF(X28:Z28,"X")&gt;=1,1,0)+IF(COUNTIF(X29:Z29,"X")&gt;=1,1,0)+IF(COUNTIF(X30:Z30,"X")&gt;=1,1,0)+IF(COUNTIF(X31:Z31,"X")&gt;=1,1,0)+IF(COUNTIF(X32:Z32,"X")&gt;=1,1,0)+IF(COUNTIF(X33:Z33,"X")&gt;=1,1,0)+IF(COUNTIF(X34:Z34,"X")&gt;=1,1,0)+IF(COUNTIF(X35:Z35,"X")&gt;=1,1,0)+IF(COUNTIF(X36:Z36,"X")&gt;=1,1,0)</f>
        <v>0</v>
      </c>
      <c r="Z37" s="76">
        <f>COUNTIF(X22:Z22,"X")*COUNTIF(X23:Z23,"X")*COUNTIF(X24:Z24,"X")*COUNTIF(X25:Z25,"X")*COUNTIF(X26:Z26,"X")*COUNTIF(X27:Z27,"X")*COUNTIF(X28:Z28,"X")*COUNTIF(X29:Z29,"X")*COUNTIF(X30:Z30,"X")*COUNTIF(X31:Z31,"X")*COUNTIF(X32:Z32,"X")*COUNTIF(X33:Z33,"X")*COUNTIF(X34:Z34,"X")*COUNTIF(X35:Z35,"X")*COUNTIF(X36:Z36,"X")</f>
        <v>0</v>
      </c>
      <c r="AB37" s="52" t="s">
        <v>87</v>
      </c>
      <c r="AC37" s="76">
        <f>IF(COUNTIF(AB22:AD22,"X")&gt;=1,1,0)+IF(COUNTIF(AB23:AD23,"X")&gt;=1,1,0)+IF(COUNTIF(AB24:AD24,"X")&gt;=1,1,0)+IF(COUNTIF(AB25:AD25,"X")&gt;=1,1,0)+IF(COUNTIF(AB26:AD26,"X")&gt;=1,1,0)+IF(COUNTIF(AB27:AD27,"X")&gt;=1,1,0)+IF(COUNTIF(AB28:AD28,"X")&gt;=1,1,0)+IF(COUNTIF(AB29:AD29,"X")&gt;=1,1,0)+IF(COUNTIF(AB30:AD30,"X")&gt;=1,1,0)+IF(COUNTIF(AB31:AD31,"X")&gt;=1,1,0)+IF(COUNTIF(AB32:AD32,"X")&gt;=1,1,0)+IF(COUNTIF(AB33:AD33,"X")&gt;=1,1,0)+IF(COUNTIF(AB34:AD34,"X")&gt;=1,1,0)+IF(COUNTIF(AB35:AD35,"X")&gt;=1,1,0)+IF(COUNTIF(AB36:AD36,"X")&gt;=1,1,0)</f>
        <v>0</v>
      </c>
      <c r="AD37" s="76">
        <f>COUNTIF(AB22:AD22,"X")*COUNTIF(AB23:AD23,"X")*COUNTIF(AB24:AD24,"X")*COUNTIF(AB25:AD25,"X")*COUNTIF(AB26:AD26,"X")*COUNTIF(AB27:AD27,"X")*COUNTIF(AB28:AD28,"X")*COUNTIF(AB29:AD29,"X")*COUNTIF(AB30:AD30,"X")*COUNTIF(AB31:AD31,"X")*COUNTIF(AB32:AD32,"X")*COUNTIF(AB33:AD33,"X")*COUNTIF(AB34:AD34,"X")*COUNTIF(AB35:AD35,"X")*COUNTIF(AB36:AD36,"X")</f>
        <v>0</v>
      </c>
      <c r="AF37" s="52" t="s">
        <v>87</v>
      </c>
      <c r="AG37" s="76">
        <f>IF(COUNTIF(AF22:AH22,"X")&gt;=1,1,0)+IF(COUNTIF(AF23:AH23,"X")&gt;=1,1,0)+IF(COUNTIF(AF24:AH24,"X")&gt;=1,1,0)+IF(COUNTIF(AF25:AH25,"X")&gt;=1,1,0)+IF(COUNTIF(AF26:AH26,"X")&gt;=1,1,0)+IF(COUNTIF(AF27:AH27,"X")&gt;=1,1,0)+IF(COUNTIF(AF28:AH28,"X")&gt;=1,1,0)+IF(COUNTIF(AF29:AH29,"X")&gt;=1,1,0)+IF(COUNTIF(AF30:AH30,"X")&gt;=1,1,0)+IF(COUNTIF(AF31:AH31,"X")&gt;=1,1,0)+IF(COUNTIF(AF32:AH32,"X")&gt;=1,1,0)+IF(COUNTIF(AF33:AH33,"X")&gt;=1,1,0)+IF(COUNTIF(AF34:AH34,"X")&gt;=1,1,0)+IF(COUNTIF(AF35:AH35,"X")&gt;=1,1,0)+IF(COUNTIF(AF36:AH36,"X")&gt;=1,1,0)</f>
        <v>0</v>
      </c>
      <c r="AH37" s="76">
        <f>COUNTIF(AF22:AH22,"X")*COUNTIF(AF23:AH23,"X")*COUNTIF(AF24:AH24,"X")*COUNTIF(AF25:AH25,"X")*COUNTIF(AF26:AH26,"X")*COUNTIF(AF27:AH27,"X")*COUNTIF(AF28:AH28,"X")*COUNTIF(AF29:AH29,"X")*COUNTIF(AF30:AH30,"X")*COUNTIF(AF31:AH31,"X")*COUNTIF(AF32:AH32,"X")*COUNTIF(AF33:AH33,"X")*COUNTIF(AF34:AH34,"X")*COUNTIF(AF35:AH35,"X")*COUNTIF(AF36:AH36,"X")</f>
        <v>0</v>
      </c>
      <c r="AJ37" s="52" t="s">
        <v>87</v>
      </c>
      <c r="AK37" s="76">
        <f>IF(COUNTIF(AJ22:AL22,"X")&gt;=1,1,0)+IF(COUNTIF(AJ23:AL23,"X")&gt;=1,1,0)+IF(COUNTIF(AJ24:AL24,"X")&gt;=1,1,0)+IF(COUNTIF(AJ25:AL25,"X")&gt;=1,1,0)+IF(COUNTIF(AJ26:AL26,"X")&gt;=1,1,0)+IF(COUNTIF(AJ27:AL27,"X")&gt;=1,1,0)+IF(COUNTIF(AJ28:AL28,"X")&gt;=1,1,0)+IF(COUNTIF(AJ29:AL29,"X")&gt;=1,1,0)+IF(COUNTIF(AJ30:AL30,"X")&gt;=1,1,0)+IF(COUNTIF(AJ31:AL31,"X")&gt;=1,1,0)+IF(COUNTIF(AJ32:AL32,"X")&gt;=1,1,0)+IF(COUNTIF(AJ33:AL33,"X")&gt;=1,1,0)+IF(COUNTIF(AJ34:AL34,"X")&gt;=1,1,0)+IF(COUNTIF(AJ35:AL35,"X")&gt;=1,1,0)+IF(COUNTIF(AJ36:AL36,"X")&gt;=1,1,0)</f>
        <v>0</v>
      </c>
      <c r="AL37" s="76">
        <f>COUNTIF(AJ22:AL22,"X")*COUNTIF(AJ23:AL23,"X")*COUNTIF(AJ24:AL24,"X")*COUNTIF(AJ25:AL25,"X")*COUNTIF(AJ26:AL26,"X")*COUNTIF(AJ27:AL27,"X")*COUNTIF(AJ28:AL28,"X")*COUNTIF(AJ29:AL29,"X")*COUNTIF(AJ30:AL30,"X")*COUNTIF(AJ31:AL31,"X")*COUNTIF(AJ32:AL32,"X")*COUNTIF(AJ33:AL33,"X")*COUNTIF(AJ34:AL34,"X")*COUNTIF(AJ35:AL35,"X")*COUNTIF(AJ36:AL36,"X")</f>
        <v>0</v>
      </c>
      <c r="CB37" s="255"/>
      <c r="CC37" s="255"/>
      <c r="CD37" s="255"/>
    </row>
    <row r="38" spans="1:158" ht="11.1" customHeight="1" thickBot="1" x14ac:dyDescent="0.3">
      <c r="O38" s="45" t="s">
        <v>57</v>
      </c>
      <c r="P38" s="46"/>
      <c r="Q38" s="47"/>
      <c r="R38" s="48"/>
      <c r="T38" s="263"/>
      <c r="U38" s="94"/>
      <c r="V38" s="91"/>
      <c r="X38" s="262"/>
      <c r="Y38" s="33" t="s">
        <v>57</v>
      </c>
      <c r="Z38" s="50"/>
      <c r="AB38" s="262"/>
      <c r="AC38" s="33" t="s">
        <v>57</v>
      </c>
      <c r="AD38" s="50"/>
      <c r="AF38" s="262"/>
      <c r="AG38" s="33" t="s">
        <v>57</v>
      </c>
      <c r="AH38" s="50"/>
      <c r="AJ38" s="262"/>
      <c r="AK38" s="33" t="s">
        <v>57</v>
      </c>
      <c r="AL38" s="50"/>
      <c r="CB38" s="255"/>
      <c r="CC38" s="255"/>
      <c r="CD38" s="255" t="s">
        <v>146</v>
      </c>
    </row>
    <row r="39" spans="1:158" ht="11.1" customHeight="1" thickBot="1" x14ac:dyDescent="0.3">
      <c r="O39" s="21" t="s">
        <v>56</v>
      </c>
      <c r="P39" s="49"/>
      <c r="Q39" s="44"/>
      <c r="R39" s="43"/>
      <c r="U39" s="1" t="s">
        <v>56</v>
      </c>
      <c r="X39" s="263"/>
      <c r="Y39" s="23" t="s">
        <v>56</v>
      </c>
      <c r="Z39" s="51"/>
      <c r="AB39" s="263"/>
      <c r="AC39" s="23" t="s">
        <v>56</v>
      </c>
      <c r="AD39" s="51"/>
      <c r="AF39" s="263"/>
      <c r="AG39" s="23" t="s">
        <v>56</v>
      </c>
      <c r="AH39" s="51"/>
      <c r="AJ39" s="263"/>
      <c r="AK39" s="23" t="s">
        <v>56</v>
      </c>
      <c r="AL39" s="51"/>
      <c r="CB39" s="255"/>
      <c r="CC39" s="255"/>
      <c r="CD39" s="255"/>
    </row>
    <row r="40" spans="1:158" ht="11.1" customHeight="1" thickBot="1" x14ac:dyDescent="0.3">
      <c r="CB40" s="255"/>
      <c r="CC40" s="255"/>
      <c r="CD40" s="255" t="s">
        <v>145</v>
      </c>
    </row>
    <row r="41" spans="1:158" ht="11.1" customHeight="1" thickBot="1" x14ac:dyDescent="0.3">
      <c r="D41" s="39"/>
      <c r="E41" s="40"/>
      <c r="F41" s="41"/>
      <c r="H41" s="39"/>
      <c r="I41" s="40"/>
      <c r="J41" s="41"/>
      <c r="L41" s="39"/>
      <c r="M41" s="40"/>
      <c r="N41" s="41"/>
      <c r="P41" s="39"/>
      <c r="Q41" s="40"/>
      <c r="R41" s="41"/>
      <c r="T41" s="39"/>
      <c r="U41" s="40"/>
      <c r="V41" s="41"/>
      <c r="X41" s="39"/>
      <c r="Y41" s="40"/>
      <c r="Z41" s="41"/>
      <c r="AB41" s="39"/>
      <c r="AC41" s="40"/>
      <c r="AD41" s="41"/>
      <c r="AF41" s="39"/>
      <c r="AG41" s="40"/>
      <c r="AH41" s="41"/>
      <c r="AJ41" s="39"/>
      <c r="AK41" s="40"/>
      <c r="AL41" s="41"/>
      <c r="CB41" s="255"/>
      <c r="CC41" s="255"/>
      <c r="CD41" s="255" t="s">
        <v>146</v>
      </c>
    </row>
    <row r="42" spans="1:158" ht="11.1" customHeight="1" x14ac:dyDescent="0.25">
      <c r="D42" s="57"/>
      <c r="E42" s="58"/>
      <c r="F42" s="59"/>
      <c r="H42" s="57"/>
      <c r="I42" s="58"/>
      <c r="J42" s="59"/>
      <c r="L42" s="57"/>
      <c r="M42" s="58"/>
      <c r="N42" s="59"/>
      <c r="P42" s="57"/>
      <c r="Q42" s="58"/>
      <c r="R42" s="59"/>
      <c r="T42" s="57"/>
      <c r="U42" s="58"/>
      <c r="V42" s="59"/>
      <c r="X42" s="57"/>
      <c r="Y42" s="58"/>
      <c r="Z42" s="59"/>
      <c r="AB42" s="57"/>
      <c r="AC42" s="58"/>
      <c r="AD42" s="59"/>
      <c r="AF42" s="57"/>
      <c r="AG42" s="58"/>
      <c r="AH42" s="59"/>
      <c r="AJ42" s="57"/>
      <c r="AK42" s="58"/>
      <c r="AL42" s="59"/>
      <c r="CB42" s="255"/>
      <c r="CC42" s="255"/>
      <c r="CD42" s="255" t="s">
        <v>146</v>
      </c>
    </row>
    <row r="43" spans="1:158" ht="11.1" customHeight="1" x14ac:dyDescent="0.25">
      <c r="D43" s="60"/>
      <c r="E43" s="61"/>
      <c r="F43" s="62"/>
      <c r="H43" s="60"/>
      <c r="I43" s="61"/>
      <c r="J43" s="62"/>
      <c r="L43" s="60"/>
      <c r="M43" s="61"/>
      <c r="N43" s="62"/>
      <c r="P43" s="60"/>
      <c r="Q43" s="61"/>
      <c r="R43" s="62"/>
      <c r="T43" s="60"/>
      <c r="U43" s="61"/>
      <c r="V43" s="62"/>
      <c r="X43" s="60"/>
      <c r="Y43" s="61"/>
      <c r="Z43" s="62"/>
      <c r="AB43" s="60"/>
      <c r="AC43" s="61"/>
      <c r="AD43" s="62"/>
      <c r="AF43" s="60"/>
      <c r="AG43" s="61"/>
      <c r="AH43" s="62"/>
      <c r="AJ43" s="60"/>
      <c r="AK43" s="61"/>
      <c r="AL43" s="62"/>
      <c r="CB43" s="255"/>
      <c r="CC43" s="255"/>
      <c r="CD43" s="255"/>
    </row>
    <row r="44" spans="1:158" ht="11.1" customHeight="1" x14ac:dyDescent="0.25">
      <c r="D44" s="60"/>
      <c r="E44" s="61"/>
      <c r="F44" s="62"/>
      <c r="H44" s="60"/>
      <c r="I44" s="61"/>
      <c r="J44" s="62"/>
      <c r="L44" s="60"/>
      <c r="M44" s="61"/>
      <c r="N44" s="62"/>
      <c r="P44" s="60"/>
      <c r="Q44" s="61"/>
      <c r="R44" s="62"/>
      <c r="T44" s="60"/>
      <c r="U44" s="61"/>
      <c r="V44" s="62"/>
      <c r="X44" s="60"/>
      <c r="Y44" s="61"/>
      <c r="Z44" s="62"/>
      <c r="AB44" s="60"/>
      <c r="AC44" s="61"/>
      <c r="AD44" s="62"/>
      <c r="AF44" s="60"/>
      <c r="AG44" s="61"/>
      <c r="AH44" s="62"/>
      <c r="AJ44" s="60"/>
      <c r="AK44" s="61"/>
      <c r="AL44" s="62"/>
      <c r="CB44" s="255"/>
      <c r="CC44" s="255"/>
      <c r="CD44" s="255"/>
    </row>
    <row r="45" spans="1:158" ht="11.1" customHeight="1" x14ac:dyDescent="0.25">
      <c r="D45" s="60"/>
      <c r="E45" s="61"/>
      <c r="F45" s="62"/>
      <c r="H45" s="60"/>
      <c r="I45" s="61"/>
      <c r="J45" s="62"/>
      <c r="L45" s="60"/>
      <c r="M45" s="61"/>
      <c r="N45" s="62"/>
      <c r="P45" s="60"/>
      <c r="Q45" s="61"/>
      <c r="R45" s="62"/>
      <c r="T45" s="60"/>
      <c r="U45" s="61"/>
      <c r="V45" s="62"/>
      <c r="X45" s="60"/>
      <c r="Y45" s="61"/>
      <c r="Z45" s="62"/>
      <c r="AB45" s="60"/>
      <c r="AC45" s="61"/>
      <c r="AD45" s="62"/>
      <c r="AF45" s="60"/>
      <c r="AG45" s="61"/>
      <c r="AH45" s="62"/>
      <c r="AJ45" s="60"/>
      <c r="AK45" s="61"/>
      <c r="AL45" s="62"/>
      <c r="CB45" s="255"/>
      <c r="CC45" s="255"/>
      <c r="CD45" s="255" t="s">
        <v>145</v>
      </c>
    </row>
    <row r="46" spans="1:158" ht="11.1" customHeight="1" x14ac:dyDescent="0.25">
      <c r="D46" s="60"/>
      <c r="E46" s="61"/>
      <c r="F46" s="62"/>
      <c r="H46" s="60"/>
      <c r="I46" s="61"/>
      <c r="J46" s="62"/>
      <c r="L46" s="60"/>
      <c r="M46" s="61"/>
      <c r="N46" s="62"/>
      <c r="P46" s="60"/>
      <c r="Q46" s="61"/>
      <c r="R46" s="62"/>
      <c r="T46" s="60"/>
      <c r="U46" s="61"/>
      <c r="V46" s="62"/>
      <c r="X46" s="60"/>
      <c r="Y46" s="61"/>
      <c r="Z46" s="62"/>
      <c r="AB46" s="60"/>
      <c r="AC46" s="61"/>
      <c r="AD46" s="62"/>
      <c r="AF46" s="60"/>
      <c r="AG46" s="61"/>
      <c r="AH46" s="62"/>
      <c r="AJ46" s="60"/>
      <c r="AK46" s="61"/>
      <c r="AL46" s="62"/>
      <c r="CB46" s="255"/>
      <c r="CC46" s="255"/>
      <c r="CD46" s="255" t="s">
        <v>145</v>
      </c>
    </row>
    <row r="47" spans="1:158" ht="11.1" customHeight="1" x14ac:dyDescent="0.25">
      <c r="D47" s="60"/>
      <c r="E47" s="61"/>
      <c r="F47" s="62"/>
      <c r="H47" s="60"/>
      <c r="I47" s="61"/>
      <c r="J47" s="62"/>
      <c r="L47" s="60"/>
      <c r="M47" s="61"/>
      <c r="N47" s="62"/>
      <c r="P47" s="60"/>
      <c r="Q47" s="61"/>
      <c r="R47" s="62"/>
      <c r="T47" s="60"/>
      <c r="U47" s="61"/>
      <c r="V47" s="62"/>
      <c r="X47" s="60"/>
      <c r="Y47" s="61"/>
      <c r="Z47" s="62"/>
      <c r="AB47" s="60"/>
      <c r="AC47" s="61"/>
      <c r="AD47" s="62"/>
      <c r="AF47" s="60"/>
      <c r="AG47" s="61"/>
      <c r="AH47" s="62"/>
      <c r="AJ47" s="60"/>
      <c r="AK47" s="61"/>
      <c r="AL47" s="62"/>
      <c r="CB47" s="255"/>
      <c r="CC47" s="255"/>
      <c r="CD47" s="255" t="s">
        <v>145</v>
      </c>
    </row>
    <row r="48" spans="1:158" ht="11.1" customHeight="1" x14ac:dyDescent="0.25">
      <c r="D48" s="60"/>
      <c r="E48" s="61"/>
      <c r="F48" s="62"/>
      <c r="H48" s="60"/>
      <c r="I48" s="61"/>
      <c r="J48" s="62"/>
      <c r="L48" s="60"/>
      <c r="M48" s="61"/>
      <c r="N48" s="62"/>
      <c r="P48" s="60"/>
      <c r="Q48" s="61"/>
      <c r="R48" s="62"/>
      <c r="T48" s="60"/>
      <c r="U48" s="61"/>
      <c r="V48" s="62"/>
      <c r="X48" s="60"/>
      <c r="Y48" s="61"/>
      <c r="Z48" s="62"/>
      <c r="AB48" s="60"/>
      <c r="AC48" s="61"/>
      <c r="AD48" s="62"/>
      <c r="AF48" s="60"/>
      <c r="AG48" s="61"/>
      <c r="AH48" s="62"/>
      <c r="AJ48" s="60"/>
      <c r="AK48" s="61"/>
      <c r="AL48" s="62"/>
      <c r="CB48" s="255"/>
      <c r="CC48" s="255"/>
      <c r="CD48" s="255"/>
    </row>
    <row r="49" spans="4:82" ht="11.1" customHeight="1" x14ac:dyDescent="0.25">
      <c r="D49" s="60"/>
      <c r="E49" s="61"/>
      <c r="F49" s="62"/>
      <c r="H49" s="60"/>
      <c r="I49" s="61"/>
      <c r="J49" s="62"/>
      <c r="L49" s="60"/>
      <c r="M49" s="61"/>
      <c r="N49" s="62"/>
      <c r="P49" s="60"/>
      <c r="Q49" s="61"/>
      <c r="R49" s="62"/>
      <c r="T49" s="60"/>
      <c r="U49" s="61"/>
      <c r="V49" s="62"/>
      <c r="X49" s="60"/>
      <c r="Y49" s="61"/>
      <c r="Z49" s="62"/>
      <c r="AB49" s="60"/>
      <c r="AC49" s="61"/>
      <c r="AD49" s="62"/>
      <c r="AF49" s="60"/>
      <c r="AG49" s="61"/>
      <c r="AH49" s="62"/>
      <c r="AJ49" s="60"/>
      <c r="AK49" s="61"/>
      <c r="AL49" s="62"/>
      <c r="CB49" s="255"/>
      <c r="CC49" s="255"/>
      <c r="CD49" s="255"/>
    </row>
    <row r="50" spans="4:82" ht="11.1" customHeight="1" x14ac:dyDescent="0.25">
      <c r="D50" s="60"/>
      <c r="E50" s="61"/>
      <c r="F50" s="62"/>
      <c r="H50" s="60"/>
      <c r="I50" s="61"/>
      <c r="J50" s="62"/>
      <c r="L50" s="60"/>
      <c r="M50" s="61"/>
      <c r="N50" s="62"/>
      <c r="P50" s="60"/>
      <c r="Q50" s="61"/>
      <c r="R50" s="62"/>
      <c r="T50" s="60"/>
      <c r="U50" s="61"/>
      <c r="V50" s="62"/>
      <c r="X50" s="60"/>
      <c r="Y50" s="61"/>
      <c r="Z50" s="62"/>
      <c r="AB50" s="60"/>
      <c r="AC50" s="61"/>
      <c r="AD50" s="62"/>
      <c r="AF50" s="60"/>
      <c r="AG50" s="61"/>
      <c r="AH50" s="62"/>
      <c r="AJ50" s="60"/>
      <c r="AK50" s="61"/>
      <c r="AL50" s="62"/>
      <c r="CB50" s="255"/>
      <c r="CC50" s="255"/>
      <c r="CD50" s="255"/>
    </row>
    <row r="51" spans="4:82" ht="11.1" customHeight="1" x14ac:dyDescent="0.25">
      <c r="D51" s="60"/>
      <c r="E51" s="61"/>
      <c r="F51" s="62"/>
      <c r="H51" s="60"/>
      <c r="I51" s="61"/>
      <c r="J51" s="62"/>
      <c r="L51" s="60"/>
      <c r="M51" s="61"/>
      <c r="N51" s="62"/>
      <c r="P51" s="60"/>
      <c r="Q51" s="61"/>
      <c r="R51" s="62"/>
      <c r="T51" s="60"/>
      <c r="U51" s="61"/>
      <c r="V51" s="62"/>
      <c r="X51" s="60"/>
      <c r="Y51" s="61"/>
      <c r="Z51" s="62"/>
      <c r="AB51" s="60"/>
      <c r="AC51" s="61"/>
      <c r="AD51" s="62"/>
      <c r="AF51" s="60"/>
      <c r="AG51" s="61"/>
      <c r="AH51" s="62"/>
      <c r="AJ51" s="60"/>
      <c r="AK51" s="61"/>
      <c r="AL51" s="62"/>
      <c r="CB51" s="255"/>
      <c r="CC51" s="255"/>
      <c r="CD51" s="255" t="s">
        <v>145</v>
      </c>
    </row>
    <row r="52" spans="4:82" ht="11.1" customHeight="1" x14ac:dyDescent="0.25">
      <c r="D52" s="60"/>
      <c r="E52" s="61"/>
      <c r="F52" s="62"/>
      <c r="H52" s="60"/>
      <c r="I52" s="61"/>
      <c r="J52" s="62"/>
      <c r="L52" s="60"/>
      <c r="M52" s="61"/>
      <c r="N52" s="62"/>
      <c r="P52" s="60"/>
      <c r="Q52" s="61"/>
      <c r="R52" s="62"/>
      <c r="T52" s="60"/>
      <c r="U52" s="61"/>
      <c r="V52" s="62"/>
      <c r="X52" s="60"/>
      <c r="Y52" s="61"/>
      <c r="Z52" s="62"/>
      <c r="AB52" s="60"/>
      <c r="AC52" s="61"/>
      <c r="AD52" s="62"/>
      <c r="AF52" s="60"/>
      <c r="AG52" s="61"/>
      <c r="AH52" s="62"/>
      <c r="AJ52" s="60"/>
      <c r="AK52" s="61"/>
      <c r="AL52" s="62"/>
      <c r="CB52" s="255"/>
      <c r="CC52" s="255"/>
      <c r="CD52" s="255"/>
    </row>
    <row r="53" spans="4:82" ht="11.1" customHeight="1" x14ac:dyDescent="0.25">
      <c r="D53" s="60"/>
      <c r="E53" s="61"/>
      <c r="F53" s="62"/>
      <c r="H53" s="60"/>
      <c r="I53" s="61"/>
      <c r="J53" s="62"/>
      <c r="L53" s="60"/>
      <c r="M53" s="61"/>
      <c r="N53" s="62"/>
      <c r="P53" s="60"/>
      <c r="Q53" s="61"/>
      <c r="R53" s="62"/>
      <c r="T53" s="60"/>
      <c r="U53" s="61"/>
      <c r="V53" s="62"/>
      <c r="X53" s="60"/>
      <c r="Y53" s="61"/>
      <c r="Z53" s="62"/>
      <c r="AB53" s="60"/>
      <c r="AC53" s="61"/>
      <c r="AD53" s="62"/>
      <c r="AF53" s="60"/>
      <c r="AG53" s="61"/>
      <c r="AH53" s="62"/>
      <c r="AJ53" s="60"/>
      <c r="AK53" s="61"/>
      <c r="AL53" s="62"/>
      <c r="CB53" s="255"/>
      <c r="CC53" s="255"/>
      <c r="CD53" s="255"/>
    </row>
    <row r="54" spans="4:82" ht="11.1" customHeight="1" x14ac:dyDescent="0.25">
      <c r="D54" s="60"/>
      <c r="E54" s="61"/>
      <c r="F54" s="62"/>
      <c r="H54" s="60"/>
      <c r="I54" s="61"/>
      <c r="J54" s="62"/>
      <c r="L54" s="60"/>
      <c r="M54" s="61"/>
      <c r="N54" s="62"/>
      <c r="P54" s="60"/>
      <c r="Q54" s="61"/>
      <c r="R54" s="62"/>
      <c r="T54" s="60"/>
      <c r="U54" s="61"/>
      <c r="V54" s="62"/>
      <c r="X54" s="60"/>
      <c r="Y54" s="61"/>
      <c r="Z54" s="62"/>
      <c r="AB54" s="60"/>
      <c r="AC54" s="61"/>
      <c r="AD54" s="62"/>
      <c r="AF54" s="60"/>
      <c r="AG54" s="61"/>
      <c r="AH54" s="62"/>
      <c r="AJ54" s="60"/>
      <c r="AK54" s="61"/>
      <c r="AL54" s="62"/>
      <c r="CB54" s="255"/>
      <c r="CC54" s="255"/>
      <c r="CD54" s="255" t="s">
        <v>146</v>
      </c>
    </row>
    <row r="55" spans="4:82" ht="11.1" customHeight="1" x14ac:dyDescent="0.25">
      <c r="D55" s="60"/>
      <c r="E55" s="61"/>
      <c r="F55" s="62"/>
      <c r="H55" s="60"/>
      <c r="I55" s="61"/>
      <c r="J55" s="62"/>
      <c r="L55" s="60"/>
      <c r="M55" s="61"/>
      <c r="N55" s="62"/>
      <c r="P55" s="60"/>
      <c r="Q55" s="61"/>
      <c r="R55" s="62"/>
      <c r="T55" s="60"/>
      <c r="U55" s="61"/>
      <c r="V55" s="62"/>
      <c r="X55" s="60"/>
      <c r="Y55" s="61"/>
      <c r="Z55" s="62"/>
      <c r="AB55" s="60"/>
      <c r="AC55" s="61"/>
      <c r="AD55" s="62"/>
      <c r="AF55" s="60"/>
      <c r="AG55" s="61"/>
      <c r="AH55" s="62"/>
      <c r="AJ55" s="60"/>
      <c r="AK55" s="61"/>
      <c r="AL55" s="62"/>
      <c r="CB55" s="255"/>
      <c r="CC55" s="255"/>
      <c r="CD55" s="255" t="s">
        <v>145</v>
      </c>
    </row>
    <row r="56" spans="4:82" ht="11.1" customHeight="1" thickBot="1" x14ac:dyDescent="0.3">
      <c r="D56" s="63"/>
      <c r="E56" s="64"/>
      <c r="F56" s="65"/>
      <c r="H56" s="63"/>
      <c r="I56" s="64"/>
      <c r="J56" s="65"/>
      <c r="L56" s="63"/>
      <c r="M56" s="64"/>
      <c r="N56" s="65"/>
      <c r="P56" s="63"/>
      <c r="Q56" s="64"/>
      <c r="R56" s="65"/>
      <c r="T56" s="63"/>
      <c r="U56" s="64"/>
      <c r="V56" s="65"/>
      <c r="X56" s="63"/>
      <c r="Y56" s="64"/>
      <c r="Z56" s="65"/>
      <c r="AB56" s="63"/>
      <c r="AC56" s="64"/>
      <c r="AD56" s="65"/>
      <c r="AF56" s="63"/>
      <c r="AG56" s="64"/>
      <c r="AH56" s="65"/>
      <c r="AJ56" s="63"/>
      <c r="AK56" s="64"/>
      <c r="AL56" s="65"/>
      <c r="CB56" s="255"/>
      <c r="CC56" s="255"/>
      <c r="CD56" s="255" t="s">
        <v>145</v>
      </c>
    </row>
    <row r="57" spans="4:82" ht="11.1" customHeight="1" x14ac:dyDescent="0.25">
      <c r="D57" s="262"/>
      <c r="E57" s="32" t="s">
        <v>57</v>
      </c>
      <c r="F57" s="42"/>
      <c r="H57" s="262"/>
      <c r="I57" s="32" t="s">
        <v>57</v>
      </c>
      <c r="J57" s="42"/>
      <c r="L57" s="262"/>
      <c r="M57" s="32" t="s">
        <v>57</v>
      </c>
      <c r="N57" s="42"/>
      <c r="P57" s="262"/>
      <c r="Q57" s="32" t="s">
        <v>57</v>
      </c>
      <c r="R57" s="42"/>
      <c r="T57" s="262"/>
      <c r="U57" s="32" t="s">
        <v>57</v>
      </c>
      <c r="V57" s="42"/>
      <c r="X57" s="262"/>
      <c r="Y57" s="32" t="s">
        <v>57</v>
      </c>
      <c r="Z57" s="42"/>
      <c r="AB57" s="262"/>
      <c r="AC57" s="32" t="s">
        <v>57</v>
      </c>
      <c r="AD57" s="42"/>
      <c r="AF57" s="262"/>
      <c r="AG57" s="32" t="s">
        <v>57</v>
      </c>
      <c r="AH57" s="42"/>
      <c r="AJ57" s="262"/>
      <c r="AK57" s="32" t="s">
        <v>57</v>
      </c>
      <c r="AL57" s="42"/>
      <c r="CB57" s="255"/>
      <c r="CC57" s="255"/>
      <c r="CD57" s="255" t="s">
        <v>145</v>
      </c>
    </row>
    <row r="58" spans="4:82" ht="11.1" customHeight="1" thickBot="1" x14ac:dyDescent="0.3">
      <c r="D58" s="263"/>
      <c r="E58" s="22" t="s">
        <v>56</v>
      </c>
      <c r="F58" s="43"/>
      <c r="H58" s="263"/>
      <c r="I58" s="22" t="s">
        <v>56</v>
      </c>
      <c r="J58" s="43"/>
      <c r="L58" s="263"/>
      <c r="M58" s="22" t="s">
        <v>56</v>
      </c>
      <c r="N58" s="43"/>
      <c r="P58" s="263"/>
      <c r="Q58" s="22" t="s">
        <v>56</v>
      </c>
      <c r="R58" s="43"/>
      <c r="T58" s="263"/>
      <c r="U58" s="22" t="s">
        <v>56</v>
      </c>
      <c r="V58" s="43"/>
      <c r="X58" s="263"/>
      <c r="Y58" s="22" t="s">
        <v>56</v>
      </c>
      <c r="Z58" s="43"/>
      <c r="AB58" s="263"/>
      <c r="AC58" s="22" t="s">
        <v>56</v>
      </c>
      <c r="AD58" s="43"/>
      <c r="AF58" s="263"/>
      <c r="AG58" s="22" t="s">
        <v>56</v>
      </c>
      <c r="AH58" s="43"/>
      <c r="AJ58" s="263"/>
      <c r="AK58" s="22" t="s">
        <v>56</v>
      </c>
      <c r="AL58" s="43"/>
      <c r="CB58" s="255"/>
      <c r="CC58" s="255"/>
      <c r="CD58" s="255"/>
    </row>
    <row r="59" spans="4:82" ht="11.1" customHeight="1" x14ac:dyDescent="0.25">
      <c r="CB59" s="255"/>
      <c r="CC59" s="255"/>
      <c r="CD59" s="255"/>
    </row>
    <row r="60" spans="4:82" ht="11.1" customHeight="1" thickBot="1" x14ac:dyDescent="0.3">
      <c r="CB60" s="255"/>
      <c r="CC60" s="255"/>
      <c r="CD60" s="255" t="s">
        <v>145</v>
      </c>
    </row>
    <row r="61" spans="4:82" ht="11.1" customHeight="1" thickBot="1" x14ac:dyDescent="0.3">
      <c r="D61" s="39"/>
      <c r="E61" s="40"/>
      <c r="F61" s="41"/>
      <c r="H61" s="39"/>
      <c r="I61" s="40"/>
      <c r="J61" s="41"/>
      <c r="L61" s="39"/>
      <c r="M61" s="40"/>
      <c r="N61" s="41"/>
      <c r="P61" s="39"/>
      <c r="Q61" s="40"/>
      <c r="R61" s="41"/>
      <c r="T61" s="39"/>
      <c r="U61" s="40"/>
      <c r="V61" s="41"/>
      <c r="X61" s="39"/>
      <c r="Y61" s="40"/>
      <c r="Z61" s="41"/>
      <c r="AB61" s="39"/>
      <c r="AC61" s="40"/>
      <c r="AD61" s="41"/>
      <c r="AF61" s="39"/>
      <c r="AG61" s="40"/>
      <c r="AH61" s="41"/>
      <c r="AJ61" s="39"/>
      <c r="AK61" s="40"/>
      <c r="AL61" s="41"/>
      <c r="CB61" s="255"/>
      <c r="CC61" s="255"/>
      <c r="CD61" s="255"/>
    </row>
    <row r="62" spans="4:82" ht="11.1" customHeight="1" x14ac:dyDescent="0.25">
      <c r="D62" s="57"/>
      <c r="E62" s="58"/>
      <c r="F62" s="59"/>
      <c r="H62" s="57"/>
      <c r="I62" s="58"/>
      <c r="J62" s="59"/>
      <c r="L62" s="57"/>
      <c r="M62" s="58"/>
      <c r="N62" s="59"/>
      <c r="P62" s="57"/>
      <c r="Q62" s="58"/>
      <c r="R62" s="59"/>
      <c r="T62" s="57"/>
      <c r="U62" s="58"/>
      <c r="V62" s="59"/>
      <c r="X62" s="57"/>
      <c r="Y62" s="58"/>
      <c r="Z62" s="59"/>
      <c r="AB62" s="57"/>
      <c r="AC62" s="58"/>
      <c r="AD62" s="59"/>
      <c r="AF62" s="57"/>
      <c r="AG62" s="58"/>
      <c r="AH62" s="59"/>
      <c r="AJ62" s="57"/>
      <c r="AK62" s="58"/>
      <c r="AL62" s="59"/>
      <c r="CB62" s="255"/>
      <c r="CC62" s="255"/>
      <c r="CD62" s="255" t="s">
        <v>145</v>
      </c>
    </row>
    <row r="63" spans="4:82" ht="11.1" customHeight="1" x14ac:dyDescent="0.25">
      <c r="D63" s="60"/>
      <c r="E63" s="61"/>
      <c r="F63" s="62"/>
      <c r="H63" s="60"/>
      <c r="I63" s="61"/>
      <c r="J63" s="62"/>
      <c r="L63" s="60"/>
      <c r="M63" s="61"/>
      <c r="N63" s="62"/>
      <c r="P63" s="60"/>
      <c r="Q63" s="61"/>
      <c r="R63" s="62"/>
      <c r="T63" s="60"/>
      <c r="U63" s="61"/>
      <c r="V63" s="62"/>
      <c r="X63" s="60"/>
      <c r="Y63" s="61"/>
      <c r="Z63" s="62"/>
      <c r="AB63" s="60"/>
      <c r="AC63" s="61"/>
      <c r="AD63" s="62"/>
      <c r="AF63" s="60"/>
      <c r="AG63" s="61"/>
      <c r="AH63" s="62"/>
      <c r="AJ63" s="60"/>
      <c r="AK63" s="61"/>
      <c r="AL63" s="62"/>
      <c r="CB63" s="255"/>
      <c r="CC63" s="255"/>
      <c r="CD63" s="255"/>
    </row>
    <row r="64" spans="4:82" ht="11.1" customHeight="1" x14ac:dyDescent="0.25">
      <c r="D64" s="60"/>
      <c r="E64" s="61"/>
      <c r="F64" s="62"/>
      <c r="H64" s="60"/>
      <c r="I64" s="61"/>
      <c r="J64" s="62"/>
      <c r="L64" s="60"/>
      <c r="M64" s="61"/>
      <c r="N64" s="62"/>
      <c r="P64" s="60"/>
      <c r="Q64" s="61"/>
      <c r="R64" s="62"/>
      <c r="T64" s="60"/>
      <c r="U64" s="61"/>
      <c r="V64" s="62"/>
      <c r="X64" s="60"/>
      <c r="Y64" s="61"/>
      <c r="Z64" s="62"/>
      <c r="AB64" s="60"/>
      <c r="AC64" s="61"/>
      <c r="AD64" s="62"/>
      <c r="AF64" s="60"/>
      <c r="AG64" s="61"/>
      <c r="AH64" s="62"/>
      <c r="AJ64" s="60"/>
      <c r="AK64" s="61"/>
      <c r="AL64" s="62"/>
      <c r="CB64" s="255"/>
      <c r="CC64" s="255"/>
      <c r="CD64" s="255"/>
    </row>
    <row r="65" spans="4:82" ht="11.1" customHeight="1" x14ac:dyDescent="0.25">
      <c r="D65" s="60"/>
      <c r="E65" s="61"/>
      <c r="F65" s="62"/>
      <c r="H65" s="60"/>
      <c r="I65" s="61"/>
      <c r="J65" s="62"/>
      <c r="L65" s="60"/>
      <c r="M65" s="61"/>
      <c r="N65" s="62"/>
      <c r="P65" s="60"/>
      <c r="Q65" s="61"/>
      <c r="R65" s="62"/>
      <c r="T65" s="60"/>
      <c r="U65" s="61"/>
      <c r="V65" s="62"/>
      <c r="X65" s="60"/>
      <c r="Y65" s="61"/>
      <c r="Z65" s="62"/>
      <c r="AB65" s="60"/>
      <c r="AC65" s="61"/>
      <c r="AD65" s="62"/>
      <c r="AF65" s="60"/>
      <c r="AG65" s="61"/>
      <c r="AH65" s="62"/>
      <c r="AJ65" s="60"/>
      <c r="AK65" s="61"/>
      <c r="AL65" s="62"/>
      <c r="CB65" s="255"/>
      <c r="CC65" s="255"/>
      <c r="CD65" s="255"/>
    </row>
    <row r="66" spans="4:82" ht="11.1" customHeight="1" x14ac:dyDescent="0.25">
      <c r="D66" s="60"/>
      <c r="E66" s="61"/>
      <c r="F66" s="62"/>
      <c r="H66" s="60"/>
      <c r="I66" s="61"/>
      <c r="J66" s="62"/>
      <c r="L66" s="60"/>
      <c r="M66" s="61"/>
      <c r="N66" s="62"/>
      <c r="P66" s="60"/>
      <c r="Q66" s="61"/>
      <c r="R66" s="62"/>
      <c r="T66" s="60"/>
      <c r="U66" s="61"/>
      <c r="V66" s="62"/>
      <c r="X66" s="60"/>
      <c r="Y66" s="61"/>
      <c r="Z66" s="62"/>
      <c r="AB66" s="60"/>
      <c r="AC66" s="61"/>
      <c r="AD66" s="62"/>
      <c r="AF66" s="60"/>
      <c r="AG66" s="61"/>
      <c r="AH66" s="62"/>
      <c r="AJ66" s="60"/>
      <c r="AK66" s="61"/>
      <c r="AL66" s="62"/>
      <c r="CB66" s="255"/>
      <c r="CC66" s="255"/>
      <c r="CD66" s="255" t="s">
        <v>145</v>
      </c>
    </row>
    <row r="67" spans="4:82" ht="11.1" customHeight="1" x14ac:dyDescent="0.25">
      <c r="D67" s="60"/>
      <c r="E67" s="61"/>
      <c r="F67" s="62"/>
      <c r="H67" s="60"/>
      <c r="I67" s="61"/>
      <c r="J67" s="62"/>
      <c r="L67" s="60"/>
      <c r="M67" s="61"/>
      <c r="N67" s="62"/>
      <c r="P67" s="60"/>
      <c r="Q67" s="61"/>
      <c r="R67" s="62"/>
      <c r="T67" s="60"/>
      <c r="U67" s="61"/>
      <c r="V67" s="62"/>
      <c r="X67" s="60"/>
      <c r="Y67" s="61"/>
      <c r="Z67" s="62"/>
      <c r="AB67" s="60"/>
      <c r="AC67" s="61"/>
      <c r="AD67" s="62"/>
      <c r="AF67" s="60"/>
      <c r="AG67" s="61"/>
      <c r="AH67" s="62"/>
      <c r="AJ67" s="60"/>
      <c r="AK67" s="61"/>
      <c r="AL67" s="62"/>
      <c r="CB67" s="255"/>
      <c r="CC67" s="255"/>
      <c r="CD67" s="255"/>
    </row>
    <row r="68" spans="4:82" ht="11.1" customHeight="1" x14ac:dyDescent="0.25">
      <c r="D68" s="60"/>
      <c r="E68" s="61"/>
      <c r="F68" s="62"/>
      <c r="H68" s="60"/>
      <c r="I68" s="61"/>
      <c r="J68" s="62"/>
      <c r="L68" s="60"/>
      <c r="M68" s="61"/>
      <c r="N68" s="62"/>
      <c r="P68" s="60"/>
      <c r="Q68" s="61"/>
      <c r="R68" s="62"/>
      <c r="T68" s="60"/>
      <c r="U68" s="61"/>
      <c r="V68" s="62"/>
      <c r="X68" s="60"/>
      <c r="Y68" s="61"/>
      <c r="Z68" s="62"/>
      <c r="AB68" s="60"/>
      <c r="AC68" s="61"/>
      <c r="AD68" s="62"/>
      <c r="AF68" s="60"/>
      <c r="AG68" s="61"/>
      <c r="AH68" s="62"/>
      <c r="AJ68" s="60"/>
      <c r="AK68" s="61"/>
      <c r="AL68" s="62"/>
      <c r="CB68" s="255"/>
      <c r="CC68" s="255"/>
      <c r="CD68" s="255" t="s">
        <v>145</v>
      </c>
    </row>
    <row r="69" spans="4:82" ht="11.1" customHeight="1" x14ac:dyDescent="0.25">
      <c r="D69" s="60"/>
      <c r="E69" s="61"/>
      <c r="F69" s="62"/>
      <c r="H69" s="60"/>
      <c r="I69" s="61"/>
      <c r="J69" s="62"/>
      <c r="L69" s="60"/>
      <c r="M69" s="61"/>
      <c r="N69" s="62"/>
      <c r="P69" s="60"/>
      <c r="Q69" s="61"/>
      <c r="R69" s="62"/>
      <c r="T69" s="60"/>
      <c r="U69" s="61"/>
      <c r="V69" s="62"/>
      <c r="X69" s="60"/>
      <c r="Y69" s="61"/>
      <c r="Z69" s="62"/>
      <c r="AB69" s="60"/>
      <c r="AC69" s="61"/>
      <c r="AD69" s="62"/>
      <c r="AF69" s="60"/>
      <c r="AG69" s="61"/>
      <c r="AH69" s="62"/>
      <c r="AJ69" s="60"/>
      <c r="AK69" s="61"/>
      <c r="AL69" s="62"/>
      <c r="CB69" s="255"/>
      <c r="CC69" s="255"/>
      <c r="CD69" s="255"/>
    </row>
    <row r="70" spans="4:82" ht="11.1" customHeight="1" x14ac:dyDescent="0.25">
      <c r="D70" s="60"/>
      <c r="E70" s="61"/>
      <c r="F70" s="62"/>
      <c r="H70" s="60"/>
      <c r="I70" s="61"/>
      <c r="J70" s="62"/>
      <c r="L70" s="60"/>
      <c r="M70" s="61"/>
      <c r="N70" s="62"/>
      <c r="P70" s="60"/>
      <c r="Q70" s="61"/>
      <c r="R70" s="62"/>
      <c r="T70" s="60"/>
      <c r="U70" s="61"/>
      <c r="V70" s="62"/>
      <c r="X70" s="60"/>
      <c r="Y70" s="61"/>
      <c r="Z70" s="62"/>
      <c r="AB70" s="60"/>
      <c r="AC70" s="61"/>
      <c r="AD70" s="62"/>
      <c r="AF70" s="60"/>
      <c r="AG70" s="61"/>
      <c r="AH70" s="62"/>
      <c r="AJ70" s="60"/>
      <c r="AK70" s="61"/>
      <c r="AL70" s="62"/>
      <c r="CB70" s="255"/>
      <c r="CC70" s="255"/>
      <c r="CD70" s="255"/>
    </row>
    <row r="71" spans="4:82" ht="11.1" customHeight="1" x14ac:dyDescent="0.25">
      <c r="D71" s="60"/>
      <c r="E71" s="61"/>
      <c r="F71" s="62"/>
      <c r="H71" s="60"/>
      <c r="I71" s="61"/>
      <c r="J71" s="62"/>
      <c r="L71" s="60"/>
      <c r="M71" s="61"/>
      <c r="N71" s="62"/>
      <c r="P71" s="60"/>
      <c r="Q71" s="61"/>
      <c r="R71" s="62"/>
      <c r="T71" s="60"/>
      <c r="U71" s="61"/>
      <c r="V71" s="62"/>
      <c r="X71" s="60"/>
      <c r="Y71" s="61"/>
      <c r="Z71" s="62"/>
      <c r="AB71" s="60"/>
      <c r="AC71" s="61"/>
      <c r="AD71" s="62"/>
      <c r="AF71" s="60"/>
      <c r="AG71" s="61"/>
      <c r="AH71" s="62"/>
      <c r="AJ71" s="60"/>
      <c r="AK71" s="61"/>
      <c r="AL71" s="62"/>
      <c r="CB71" s="255"/>
      <c r="CC71" s="255"/>
      <c r="CD71" s="255"/>
    </row>
    <row r="72" spans="4:82" ht="11.1" customHeight="1" x14ac:dyDescent="0.25">
      <c r="D72" s="60"/>
      <c r="E72" s="61"/>
      <c r="F72" s="62"/>
      <c r="H72" s="60"/>
      <c r="I72" s="61"/>
      <c r="J72" s="62"/>
      <c r="L72" s="60"/>
      <c r="M72" s="61"/>
      <c r="N72" s="62"/>
      <c r="P72" s="60"/>
      <c r="Q72" s="61"/>
      <c r="R72" s="62"/>
      <c r="T72" s="60"/>
      <c r="U72" s="61"/>
      <c r="V72" s="62"/>
      <c r="X72" s="60"/>
      <c r="Y72" s="61"/>
      <c r="Z72" s="62"/>
      <c r="AB72" s="60"/>
      <c r="AC72" s="61"/>
      <c r="AD72" s="62"/>
      <c r="AF72" s="60"/>
      <c r="AG72" s="61"/>
      <c r="AH72" s="62"/>
      <c r="AJ72" s="60"/>
      <c r="AK72" s="61"/>
      <c r="AL72" s="62"/>
      <c r="CB72" s="255"/>
      <c r="CC72" s="255"/>
      <c r="CD72" s="255"/>
    </row>
    <row r="73" spans="4:82" ht="11.1" customHeight="1" x14ac:dyDescent="0.25">
      <c r="D73" s="60"/>
      <c r="E73" s="61"/>
      <c r="F73" s="62"/>
      <c r="H73" s="60"/>
      <c r="I73" s="61"/>
      <c r="J73" s="62"/>
      <c r="L73" s="60"/>
      <c r="M73" s="61"/>
      <c r="N73" s="62"/>
      <c r="P73" s="60"/>
      <c r="Q73" s="61"/>
      <c r="R73" s="62"/>
      <c r="T73" s="60"/>
      <c r="U73" s="61"/>
      <c r="V73" s="62"/>
      <c r="X73" s="60"/>
      <c r="Y73" s="61"/>
      <c r="Z73" s="62"/>
      <c r="AB73" s="60"/>
      <c r="AC73" s="61"/>
      <c r="AD73" s="62"/>
      <c r="AF73" s="60"/>
      <c r="AG73" s="61"/>
      <c r="AH73" s="62"/>
      <c r="AJ73" s="60"/>
      <c r="AK73" s="61"/>
      <c r="AL73" s="62"/>
      <c r="CB73" s="255"/>
      <c r="CC73" s="255"/>
      <c r="CD73" s="255"/>
    </row>
    <row r="74" spans="4:82" ht="11.1" customHeight="1" x14ac:dyDescent="0.25">
      <c r="D74" s="60"/>
      <c r="E74" s="61"/>
      <c r="F74" s="62"/>
      <c r="H74" s="60"/>
      <c r="I74" s="61"/>
      <c r="J74" s="62"/>
      <c r="L74" s="60"/>
      <c r="M74" s="61"/>
      <c r="N74" s="62"/>
      <c r="P74" s="60"/>
      <c r="Q74" s="61"/>
      <c r="R74" s="62"/>
      <c r="T74" s="60"/>
      <c r="U74" s="61"/>
      <c r="V74" s="62"/>
      <c r="X74" s="60"/>
      <c r="Y74" s="61"/>
      <c r="Z74" s="62"/>
      <c r="AB74" s="60"/>
      <c r="AC74" s="61"/>
      <c r="AD74" s="62"/>
      <c r="AF74" s="60"/>
      <c r="AG74" s="61"/>
      <c r="AH74" s="62"/>
      <c r="AJ74" s="60"/>
      <c r="AK74" s="61"/>
      <c r="AL74" s="62"/>
      <c r="CB74" s="255"/>
      <c r="CC74" s="255"/>
      <c r="CD74" s="255"/>
    </row>
    <row r="75" spans="4:82" ht="11.1" customHeight="1" x14ac:dyDescent="0.25">
      <c r="D75" s="60"/>
      <c r="E75" s="61"/>
      <c r="F75" s="62"/>
      <c r="H75" s="60"/>
      <c r="I75" s="61"/>
      <c r="J75" s="62"/>
      <c r="L75" s="60"/>
      <c r="M75" s="61"/>
      <c r="N75" s="62"/>
      <c r="P75" s="60"/>
      <c r="Q75" s="61"/>
      <c r="R75" s="62"/>
      <c r="T75" s="60"/>
      <c r="U75" s="61"/>
      <c r="V75" s="62"/>
      <c r="X75" s="60"/>
      <c r="Y75" s="61"/>
      <c r="Z75" s="62"/>
      <c r="AB75" s="60"/>
      <c r="AC75" s="61"/>
      <c r="AD75" s="62"/>
      <c r="AF75" s="60"/>
      <c r="AG75" s="61"/>
      <c r="AH75" s="62"/>
      <c r="AJ75" s="60"/>
      <c r="AK75" s="61"/>
      <c r="AL75" s="62"/>
      <c r="CB75" s="255"/>
      <c r="CC75" s="255"/>
      <c r="CD75" s="255"/>
    </row>
    <row r="76" spans="4:82" ht="11.1" customHeight="1" thickBot="1" x14ac:dyDescent="0.3">
      <c r="D76" s="63"/>
      <c r="E76" s="64"/>
      <c r="F76" s="65"/>
      <c r="H76" s="63"/>
      <c r="I76" s="64"/>
      <c r="J76" s="65"/>
      <c r="L76" s="63"/>
      <c r="M76" s="64"/>
      <c r="N76" s="65"/>
      <c r="P76" s="63"/>
      <c r="Q76" s="64"/>
      <c r="R76" s="65"/>
      <c r="T76" s="63"/>
      <c r="U76" s="64"/>
      <c r="V76" s="65"/>
      <c r="X76" s="63"/>
      <c r="Y76" s="64"/>
      <c r="Z76" s="65"/>
      <c r="AB76" s="63"/>
      <c r="AC76" s="64"/>
      <c r="AD76" s="65"/>
      <c r="AF76" s="63"/>
      <c r="AG76" s="64"/>
      <c r="AH76" s="65"/>
      <c r="AJ76" s="63"/>
      <c r="AK76" s="64"/>
      <c r="AL76" s="65"/>
      <c r="CB76" s="255"/>
      <c r="CC76" s="255"/>
      <c r="CD76" s="255"/>
    </row>
    <row r="77" spans="4:82" ht="11.1" customHeight="1" x14ac:dyDescent="0.25">
      <c r="D77" s="262"/>
      <c r="E77" s="32" t="s">
        <v>57</v>
      </c>
      <c r="F77" s="42"/>
      <c r="H77" s="262"/>
      <c r="I77" s="32" t="s">
        <v>57</v>
      </c>
      <c r="J77" s="42"/>
      <c r="L77" s="262"/>
      <c r="M77" s="32" t="s">
        <v>57</v>
      </c>
      <c r="N77" s="42"/>
      <c r="P77" s="262"/>
      <c r="Q77" s="32" t="s">
        <v>57</v>
      </c>
      <c r="R77" s="42"/>
      <c r="T77" s="262"/>
      <c r="U77" s="32" t="s">
        <v>57</v>
      </c>
      <c r="V77" s="42"/>
      <c r="X77" s="262"/>
      <c r="Y77" s="32" t="s">
        <v>57</v>
      </c>
      <c r="Z77" s="42"/>
      <c r="AB77" s="262"/>
      <c r="AC77" s="32" t="s">
        <v>57</v>
      </c>
      <c r="AD77" s="42"/>
      <c r="AF77" s="262"/>
      <c r="AG77" s="32" t="s">
        <v>57</v>
      </c>
      <c r="AH77" s="42"/>
      <c r="AJ77" s="262"/>
      <c r="AK77" s="32" t="s">
        <v>57</v>
      </c>
      <c r="AL77" s="42"/>
      <c r="CB77" s="255"/>
      <c r="CC77" s="255"/>
      <c r="CD77" s="255"/>
    </row>
    <row r="78" spans="4:82" ht="11.1" customHeight="1" thickBot="1" x14ac:dyDescent="0.3">
      <c r="D78" s="263"/>
      <c r="E78" s="22" t="s">
        <v>56</v>
      </c>
      <c r="F78" s="43"/>
      <c r="H78" s="263"/>
      <c r="I78" s="22" t="s">
        <v>56</v>
      </c>
      <c r="J78" s="43"/>
      <c r="L78" s="263"/>
      <c r="M78" s="22" t="s">
        <v>56</v>
      </c>
      <c r="N78" s="43"/>
      <c r="P78" s="263"/>
      <c r="Q78" s="22" t="s">
        <v>56</v>
      </c>
      <c r="R78" s="43"/>
      <c r="T78" s="263"/>
      <c r="U78" s="22" t="s">
        <v>56</v>
      </c>
      <c r="V78" s="43"/>
      <c r="X78" s="263"/>
      <c r="Y78" s="22" t="s">
        <v>56</v>
      </c>
      <c r="Z78" s="43"/>
      <c r="AB78" s="263"/>
      <c r="AC78" s="22" t="s">
        <v>56</v>
      </c>
      <c r="AD78" s="43"/>
      <c r="AF78" s="263"/>
      <c r="AG78" s="22" t="s">
        <v>56</v>
      </c>
      <c r="AH78" s="43"/>
      <c r="AJ78" s="263"/>
      <c r="AK78" s="22" t="s">
        <v>56</v>
      </c>
      <c r="AL78" s="43"/>
      <c r="CB78" s="255"/>
      <c r="CC78" s="255"/>
      <c r="CD78" s="255"/>
    </row>
    <row r="79" spans="4:82" ht="11.1" customHeight="1" x14ac:dyDescent="0.25">
      <c r="CB79" s="255"/>
      <c r="CC79" s="255"/>
      <c r="CD79" s="255"/>
    </row>
    <row r="80" spans="4:82" ht="11.1" customHeight="1" x14ac:dyDescent="0.25">
      <c r="CB80" s="255"/>
      <c r="CC80" s="255"/>
      <c r="CD80" s="255"/>
    </row>
    <row r="81" spans="80:82" ht="11.1" customHeight="1" x14ac:dyDescent="0.25">
      <c r="CB81" s="255"/>
      <c r="CC81" s="255"/>
      <c r="CD81" s="255"/>
    </row>
    <row r="82" spans="80:82" ht="11.1" customHeight="1" x14ac:dyDescent="0.25">
      <c r="CB82" s="255"/>
      <c r="CC82" s="255"/>
      <c r="CD82" s="255"/>
    </row>
    <row r="83" spans="80:82" ht="11.1" customHeight="1" x14ac:dyDescent="0.25">
      <c r="CB83" s="255"/>
      <c r="CC83" s="255"/>
      <c r="CD83" s="255"/>
    </row>
    <row r="84" spans="80:82" ht="11.1" customHeight="1" x14ac:dyDescent="0.25">
      <c r="CB84" s="255"/>
      <c r="CC84" s="255"/>
      <c r="CD84" s="255"/>
    </row>
    <row r="85" spans="80:82" ht="11.1" customHeight="1" x14ac:dyDescent="0.25">
      <c r="CB85" s="255"/>
      <c r="CC85" s="255"/>
      <c r="CD85" s="255"/>
    </row>
    <row r="86" spans="80:82" ht="11.1" customHeight="1" x14ac:dyDescent="0.25">
      <c r="CB86" s="255"/>
      <c r="CC86" s="255"/>
      <c r="CD86" s="255"/>
    </row>
    <row r="87" spans="80:82" ht="11.1" customHeight="1" x14ac:dyDescent="0.25">
      <c r="CB87" s="255"/>
      <c r="CC87" s="255"/>
      <c r="CD87" s="255"/>
    </row>
    <row r="88" spans="80:82" ht="11.1" customHeight="1" x14ac:dyDescent="0.25">
      <c r="CB88" s="255"/>
      <c r="CC88" s="255"/>
      <c r="CD88" s="255"/>
    </row>
    <row r="89" spans="80:82" ht="11.1" customHeight="1" x14ac:dyDescent="0.25">
      <c r="CB89" s="255"/>
      <c r="CC89" s="255"/>
      <c r="CD89" s="255"/>
    </row>
    <row r="90" spans="80:82" ht="11.1" customHeight="1" x14ac:dyDescent="0.25">
      <c r="CB90" s="255"/>
      <c r="CC90" s="255"/>
      <c r="CD90" s="255"/>
    </row>
    <row r="91" spans="80:82" ht="11.1" customHeight="1" x14ac:dyDescent="0.25">
      <c r="CB91" s="255"/>
      <c r="CC91" s="255"/>
      <c r="CD91" s="255"/>
    </row>
    <row r="92" spans="80:82" ht="11.1" customHeight="1" x14ac:dyDescent="0.25">
      <c r="CB92" s="255"/>
      <c r="CC92" s="255"/>
      <c r="CD92" s="255"/>
    </row>
    <row r="93" spans="80:82" ht="11.1" customHeight="1" x14ac:dyDescent="0.25">
      <c r="CB93" s="255"/>
      <c r="CC93" s="255"/>
      <c r="CD93" s="255"/>
    </row>
    <row r="94" spans="80:82" ht="11.1" customHeight="1" x14ac:dyDescent="0.25">
      <c r="CB94" s="255"/>
      <c r="CC94" s="255"/>
      <c r="CD94" s="255"/>
    </row>
    <row r="95" spans="80:82" ht="11.1" customHeight="1" x14ac:dyDescent="0.25">
      <c r="CB95" s="255"/>
      <c r="CC95" s="255"/>
      <c r="CD95" s="255"/>
    </row>
    <row r="96" spans="80:82" ht="11.1" customHeight="1" x14ac:dyDescent="0.25">
      <c r="CB96" s="255"/>
      <c r="CC96" s="255"/>
      <c r="CD96" s="255"/>
    </row>
    <row r="97" spans="80:82" ht="11.1" customHeight="1" x14ac:dyDescent="0.25">
      <c r="CB97" s="255"/>
      <c r="CC97" s="255"/>
      <c r="CD97" s="255"/>
    </row>
    <row r="98" spans="80:82" ht="11.1" customHeight="1" x14ac:dyDescent="0.25">
      <c r="CB98" s="255"/>
      <c r="CC98" s="255"/>
      <c r="CD98" s="255"/>
    </row>
    <row r="99" spans="80:82" ht="11.1" customHeight="1" x14ac:dyDescent="0.25">
      <c r="CB99" s="255"/>
      <c r="CC99" s="255"/>
      <c r="CD99" s="255"/>
    </row>
    <row r="100" spans="80:82" ht="11.1" customHeight="1" x14ac:dyDescent="0.25">
      <c r="CB100" s="255"/>
      <c r="CC100" s="255"/>
      <c r="CD100" s="255"/>
    </row>
    <row r="101" spans="80:82" ht="11.1" customHeight="1" x14ac:dyDescent="0.25">
      <c r="CB101" s="255"/>
      <c r="CC101" s="255"/>
      <c r="CD101" s="255"/>
    </row>
    <row r="102" spans="80:82" ht="11.1" customHeight="1" x14ac:dyDescent="0.25">
      <c r="CB102" s="255"/>
      <c r="CC102" s="255"/>
      <c r="CD102" s="255"/>
    </row>
    <row r="103" spans="80:82" ht="11.1" customHeight="1" x14ac:dyDescent="0.25">
      <c r="CB103" s="255"/>
      <c r="CC103" s="255"/>
      <c r="CD103" s="255"/>
    </row>
    <row r="104" spans="80:82" ht="11.1" customHeight="1" x14ac:dyDescent="0.25">
      <c r="CB104" s="255"/>
      <c r="CC104" s="255"/>
      <c r="CD104" s="255"/>
    </row>
    <row r="105" spans="80:82" ht="11.1" customHeight="1" x14ac:dyDescent="0.25">
      <c r="CB105" s="255"/>
      <c r="CC105" s="255"/>
      <c r="CD105" s="255"/>
    </row>
  </sheetData>
  <mergeCells count="71">
    <mergeCell ref="FF18:FH19"/>
    <mergeCell ref="GL12:GN13"/>
    <mergeCell ref="GL9:GN10"/>
    <mergeCell ref="GL6:GN7"/>
    <mergeCell ref="CB15:CD16"/>
    <mergeCell ref="GL3:GN4"/>
    <mergeCell ref="FF15:FH16"/>
    <mergeCell ref="DQ15:DS16"/>
    <mergeCell ref="A12:C13"/>
    <mergeCell ref="AP12:AR13"/>
    <mergeCell ref="CB12:CD13"/>
    <mergeCell ref="FF3:FH4"/>
    <mergeCell ref="DQ3:DS4"/>
    <mergeCell ref="DQ6:DS7"/>
    <mergeCell ref="DQ9:DS10"/>
    <mergeCell ref="DQ12:DS13"/>
    <mergeCell ref="FF6:FH7"/>
    <mergeCell ref="FF9:FH10"/>
    <mergeCell ref="FF12:FH13"/>
    <mergeCell ref="A15:C16"/>
    <mergeCell ref="AP15:AR16"/>
    <mergeCell ref="O36:O37"/>
    <mergeCell ref="CB3:CD4"/>
    <mergeCell ref="CB6:CD7"/>
    <mergeCell ref="CB9:CD10"/>
    <mergeCell ref="T37:T38"/>
    <mergeCell ref="AF38:AF39"/>
    <mergeCell ref="X38:X39"/>
    <mergeCell ref="AB38:AB39"/>
    <mergeCell ref="O26:O27"/>
    <mergeCell ref="O21:O22"/>
    <mergeCell ref="AP9:AR10"/>
    <mergeCell ref="AP3:AR4"/>
    <mergeCell ref="AP6:AR7"/>
    <mergeCell ref="AJ38:AJ39"/>
    <mergeCell ref="O31:O32"/>
    <mergeCell ref="AP18:AR19"/>
    <mergeCell ref="AF77:AF78"/>
    <mergeCell ref="P57:P58"/>
    <mergeCell ref="P77:P78"/>
    <mergeCell ref="T57:T58"/>
    <mergeCell ref="X57:X58"/>
    <mergeCell ref="AB57:AB58"/>
    <mergeCell ref="AF57:AF58"/>
    <mergeCell ref="AJ57:AJ58"/>
    <mergeCell ref="AJ77:AJ78"/>
    <mergeCell ref="A9:C10"/>
    <mergeCell ref="A3:C4"/>
    <mergeCell ref="A6:C7"/>
    <mergeCell ref="E3:I4"/>
    <mergeCell ref="K3:O4"/>
    <mergeCell ref="L57:L58"/>
    <mergeCell ref="H57:H58"/>
    <mergeCell ref="D57:D58"/>
    <mergeCell ref="D77:D78"/>
    <mergeCell ref="H77:H78"/>
    <mergeCell ref="L77:L78"/>
    <mergeCell ref="T77:T78"/>
    <mergeCell ref="X77:X78"/>
    <mergeCell ref="AB77:AB78"/>
    <mergeCell ref="A18:C19"/>
    <mergeCell ref="A21:C22"/>
    <mergeCell ref="A24:C25"/>
    <mergeCell ref="AP21:AR22"/>
    <mergeCell ref="AP24:AR25"/>
    <mergeCell ref="CB21:CD22"/>
    <mergeCell ref="CB24:CD25"/>
    <mergeCell ref="DQ18:DS19"/>
    <mergeCell ref="DQ21:DS22"/>
    <mergeCell ref="DQ24:DS25"/>
    <mergeCell ref="CB18:CD19"/>
  </mergeCells>
  <conditionalFormatting sqref="E22:K22 R5:T5 M22 AJ5:AL5">
    <cfRule type="expression" dxfId="34" priority="136">
      <formula>$J$4=$E$22</formula>
    </cfRule>
  </conditionalFormatting>
  <conditionalFormatting sqref="E23:K23 R6:T6 V6:Y6 AA6:AC6 AE6:AH6 M23 AJ6:AL6">
    <cfRule type="expression" dxfId="33" priority="134">
      <formula>$J$4=$E$23</formula>
    </cfRule>
  </conditionalFormatting>
  <conditionalFormatting sqref="E24:K24 R7:T7 V7:Y7 AA7:AC7 AE7:AH7 M24 AJ7:AL7">
    <cfRule type="expression" dxfId="32" priority="133">
      <formula>$J$4=$E$24</formula>
    </cfRule>
  </conditionalFormatting>
  <conditionalFormatting sqref="E25:K25 R8:T8 V8:Y8 AA8:AC8 AE8:AH8 M25 AJ8:AL8">
    <cfRule type="expression" dxfId="31" priority="99">
      <formula>$J$4=$E$25</formula>
    </cfRule>
  </conditionalFormatting>
  <conditionalFormatting sqref="E26:K26 R9:T9 V9:Y9 AA9:AC9 AE9:AH9 M26 AJ9:AL9">
    <cfRule type="expression" dxfId="30" priority="98">
      <formula>$J$4=$E$26</formula>
    </cfRule>
  </conditionalFormatting>
  <conditionalFormatting sqref="E27:K27 R10:T10 V10:Y10 AA10:AC10 AE10:AH10 M27 AJ10:AL10">
    <cfRule type="expression" dxfId="29" priority="97">
      <formula>$J$4=$E$27</formula>
    </cfRule>
  </conditionalFormatting>
  <conditionalFormatting sqref="E28:K28 R11:T11 V11:Y11 AA11:AC11 AE11:AH11 M28 AJ11:AL11">
    <cfRule type="expression" dxfId="28" priority="96">
      <formula>$J$4=$E$28</formula>
    </cfRule>
  </conditionalFormatting>
  <conditionalFormatting sqref="E29:K29 R12:T12 V12:Y12 AA12:AC12 AE12:AH12 M29 AJ12:AL12">
    <cfRule type="expression" dxfId="27" priority="95">
      <formula>$J$4=$E$29</formula>
    </cfRule>
  </conditionalFormatting>
  <conditionalFormatting sqref="E30:K30 R13:T13 V13:Y13 AA13:AC13 AE13:AH13 M30 AJ13:AL13">
    <cfRule type="expression" dxfId="26" priority="94">
      <formula>$J$4=$E$30</formula>
    </cfRule>
  </conditionalFormatting>
  <conditionalFormatting sqref="E31:K31 R14:T14 V14:Y14 AA14:AC14 AE14:AH14 M31 AJ14:AL14">
    <cfRule type="expression" dxfId="25" priority="92">
      <formula>$J$4=$E$31</formula>
    </cfRule>
    <cfRule type="expression" dxfId="24" priority="93">
      <formula>$J$4=$E$31</formula>
    </cfRule>
  </conditionalFormatting>
  <conditionalFormatting sqref="E32:K32 R15:T15 V15:Y15 AA15:AC15 AE15:AH15 M32 AJ15:AL15">
    <cfRule type="expression" dxfId="23" priority="91">
      <formula>$J$4=$E$32</formula>
    </cfRule>
  </conditionalFormatting>
  <conditionalFormatting sqref="E33:K33 R16:T16 V16:Y16 AA16:AC16 AE16:AH16 M33 AJ16:AL16">
    <cfRule type="expression" dxfId="22" priority="90">
      <formula>$J$4=$E$33</formula>
    </cfRule>
  </conditionalFormatting>
  <conditionalFormatting sqref="E34:K34 R17:T17 V17:Y17 AA17:AC17 AE17:AH17 M34 AJ17:AL17">
    <cfRule type="expression" dxfId="21" priority="89">
      <formula>$J$4=$E$34</formula>
    </cfRule>
  </conditionalFormatting>
  <conditionalFormatting sqref="E35:K35 R18:T18 V18:Y18 AA18:AC18 AE18:AH18 M35 AJ18:AL18">
    <cfRule type="expression" dxfId="20" priority="88">
      <formula>$E$35=$J$4</formula>
    </cfRule>
  </conditionalFormatting>
  <conditionalFormatting sqref="E36:K36 R19:T19 V19:Y19 AA19:AC19 AE19:AH19 M36 AJ19:AL19">
    <cfRule type="expression" dxfId="19" priority="87">
      <formula>$J$4=$E$36</formula>
    </cfRule>
  </conditionalFormatting>
  <conditionalFormatting sqref="N9">
    <cfRule type="expression" dxfId="18" priority="44">
      <formula>AND(6&lt;$K$8,50&lt;$N$9)</formula>
    </cfRule>
  </conditionalFormatting>
  <conditionalFormatting sqref="M9">
    <cfRule type="expression" dxfId="17" priority="43">
      <formula>AND(6&lt;$K$8,50&lt;$M$9)</formula>
    </cfRule>
  </conditionalFormatting>
  <conditionalFormatting sqref="L9">
    <cfRule type="expression" dxfId="16" priority="42">
      <formula>AND(6&lt;$K$8,50&lt;$L$9)</formula>
    </cfRule>
  </conditionalFormatting>
  <conditionalFormatting sqref="I9">
    <cfRule type="expression" dxfId="15" priority="41">
      <formula>AND(6&lt;$F$8,50&lt;$I$9)</formula>
    </cfRule>
  </conditionalFormatting>
  <conditionalFormatting sqref="H9">
    <cfRule type="expression" dxfId="14" priority="40">
      <formula>AND(6&lt;$F$8,50&lt;$H$9)</formula>
    </cfRule>
  </conditionalFormatting>
  <conditionalFormatting sqref="G9">
    <cfRule type="expression" dxfId="13" priority="39">
      <formula>AND(6&lt;$F$8,50&lt;$G$9)</formula>
    </cfRule>
  </conditionalFormatting>
  <conditionalFormatting sqref="N14">
    <cfRule type="expression" dxfId="12" priority="38">
      <formula>AND(6&lt;$K$13,50&lt;$N$14)</formula>
    </cfRule>
  </conditionalFormatting>
  <conditionalFormatting sqref="M14">
    <cfRule type="expression" dxfId="11" priority="37">
      <formula>AND(6&lt;$K$13,50&lt;$M$14)</formula>
    </cfRule>
  </conditionalFormatting>
  <conditionalFormatting sqref="L14">
    <cfRule type="expression" dxfId="10" priority="36">
      <formula>AND(6&lt;$K$13,50&lt;$L$14)</formula>
    </cfRule>
  </conditionalFormatting>
  <conditionalFormatting sqref="I14">
    <cfRule type="expression" dxfId="9" priority="35">
      <formula>AND(6&lt;$F$13,50&lt;$I$14)</formula>
    </cfRule>
  </conditionalFormatting>
  <conditionalFormatting sqref="H14">
    <cfRule type="expression" dxfId="8" priority="34">
      <formula>AND(6&lt;$F$13,50&lt;$H$14)</formula>
    </cfRule>
  </conditionalFormatting>
  <conditionalFormatting sqref="G14">
    <cfRule type="expression" dxfId="7" priority="33">
      <formula>AND(6&lt;$F$13,50&lt;$G$14)</formula>
    </cfRule>
  </conditionalFormatting>
  <conditionalFormatting sqref="N19">
    <cfRule type="expression" dxfId="6" priority="32">
      <formula>AND(6&lt;$K$18,50&lt;$N$19)</formula>
    </cfRule>
  </conditionalFormatting>
  <conditionalFormatting sqref="M19">
    <cfRule type="expression" dxfId="5" priority="31">
      <formula>AND(6&lt;$K$18,50&lt;$M$19)</formula>
    </cfRule>
  </conditionalFormatting>
  <conditionalFormatting sqref="L19">
    <cfRule type="expression" dxfId="4" priority="30">
      <formula>AND(6&lt;$K$18,50&lt;$L$19)</formula>
    </cfRule>
  </conditionalFormatting>
  <conditionalFormatting sqref="I19">
    <cfRule type="expression" dxfId="3" priority="29">
      <formula>AND(6&lt;$F$18,50&lt;$I$19)</formula>
    </cfRule>
  </conditionalFormatting>
  <conditionalFormatting sqref="H19">
    <cfRule type="expression" dxfId="2" priority="28">
      <formula>AND(6&lt;$F$18,50&lt;$H$19)</formula>
    </cfRule>
  </conditionalFormatting>
  <conditionalFormatting sqref="G19">
    <cfRule type="expression" dxfId="1" priority="27">
      <formula>AND(6&lt;$F$18,50&lt;$G$19)</formula>
    </cfRule>
  </conditionalFormatting>
  <conditionalFormatting sqref="V5:Y5 AA5:AC5 AE5:AH5">
    <cfRule type="expression" dxfId="0" priority="168">
      <formula>$J$4=$E$22</formula>
    </cfRule>
  </conditionalFormatting>
  <conditionalFormatting sqref="CK4:CK19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{5D95FF96-106A-4319-9195-0E2CB653C3CD}</x14:id>
        </ext>
      </extLst>
    </cfRule>
  </conditionalFormatting>
  <conditionalFormatting sqref="CM4:CM1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{544CEB37-A02B-491C-928F-DBFCB2DCD382}</x14:id>
        </ext>
      </extLst>
    </cfRule>
  </conditionalFormatting>
  <conditionalFormatting sqref="CO4:CO19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{AFB88A21-40EB-4834-8281-4939CD0A99B1}</x14:id>
        </ext>
      </extLst>
    </cfRule>
  </conditionalFormatting>
  <conditionalFormatting sqref="CR4:CR19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{FF3042D0-73E0-4BA7-BBDD-C07BF4C5A91E}</x14:id>
        </ext>
      </extLst>
    </cfRule>
  </conditionalFormatting>
  <conditionalFormatting sqref="CT4:CT1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{46CB061A-457F-49DD-9053-67B21BA9E906}</x14:id>
        </ext>
      </extLst>
    </cfRule>
  </conditionalFormatting>
  <conditionalFormatting sqref="CV4:CV19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{88B347C9-872B-4B62-8CFB-7E4D2E1498A0}</x14:id>
        </ext>
      </extLst>
    </cfRule>
  </conditionalFormatting>
  <conditionalFormatting sqref="CY4:CY1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{3ACA3463-2524-4FBD-B438-F6EA7E2B1358}</x14:id>
        </ext>
      </extLst>
    </cfRule>
  </conditionalFormatting>
  <conditionalFormatting sqref="DA4:DA19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{537AD1D3-EC17-485A-93B0-E667D466452A}</x14:id>
        </ext>
      </extLst>
    </cfRule>
  </conditionalFormatting>
  <conditionalFormatting sqref="DC4:DC1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{20A99DC1-A7BF-4AA4-B3A0-4DEBE0AB29F1}</x14:id>
        </ext>
      </extLst>
    </cfRule>
  </conditionalFormatting>
  <conditionalFormatting sqref="DF4:DF19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{96889D25-CC6C-480F-8513-97F9A2AAC913}</x14:id>
        </ext>
      </extLst>
    </cfRule>
  </conditionalFormatting>
  <conditionalFormatting sqref="DH4:DH1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{DBB8568B-F50E-4093-9867-71C7C0F9DDA0}</x14:id>
        </ext>
      </extLst>
    </cfRule>
  </conditionalFormatting>
  <conditionalFormatting sqref="DJ4:DJ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{5E17E7EA-1C82-4431-B9AE-AF59A6DB2A43}</x14:id>
        </ext>
      </extLst>
    </cfRule>
  </conditionalFormatting>
  <dataValidations count="1">
    <dataValidation type="list" allowBlank="1" showInputMessage="1" showErrorMessage="1" sqref="J4">
      <formula1>$AT$3:$AT$17</formula1>
    </dataValidation>
  </dataValidations>
  <hyperlinks>
    <hyperlink ref="A6:C7" location="'Spor Toto'!BY1" display="Veri Girişi"/>
    <hyperlink ref="A9:C10" location="'Spor Toto'!DN1" display="İstatistik"/>
    <hyperlink ref="AP3:AR4" location="'Spor Toto'!A1" display="Spor Toto"/>
    <hyperlink ref="AP9:AR10" location="'Spor Toto'!DN1" display="İstatistik"/>
    <hyperlink ref="CB3:CD4" location="'Spor Toto'!A1" display="Spor Toto"/>
    <hyperlink ref="CB6:CD7" location="'Spor Toto'!AP1" display="Veri Girişi"/>
  </hyperlinks>
  <pageMargins left="0.7" right="0.7" top="0.75" bottom="0.75" header="0.3" footer="0.3"/>
  <pageSetup paperSize="9" orientation="portrait" r:id="rId1"/>
  <ignoredErrors>
    <ignoredError sqref="BB3:BD17" formulaRange="1"/>
    <ignoredError sqref="CJ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Check Box 12">
              <controlPr defaultSize="0" autoFill="0" autoLine="0" autoPict="0">
                <anchor moveWithCells="1">
                  <from>
                    <xdr:col>23</xdr:col>
                    <xdr:colOff>0</xdr:colOff>
                    <xdr:row>37</xdr:row>
                    <xdr:rowOff>28575</xdr:rowOff>
                  </from>
                  <to>
                    <xdr:col>24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Check Box 13">
              <controlPr defaultSize="0" autoFill="0" autoLine="0" autoPict="0">
                <anchor moveWithCells="1">
                  <from>
                    <xdr:col>27</xdr:col>
                    <xdr:colOff>0</xdr:colOff>
                    <xdr:row>37</xdr:row>
                    <xdr:rowOff>28575</xdr:rowOff>
                  </from>
                  <to>
                    <xdr:col>28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Check Box 15">
              <controlPr defaultSize="0" autoFill="0" autoLine="0" autoPict="0">
                <anchor moveWithCells="1">
                  <from>
                    <xdr:col>31</xdr:col>
                    <xdr:colOff>0</xdr:colOff>
                    <xdr:row>37</xdr:row>
                    <xdr:rowOff>28575</xdr:rowOff>
                  </from>
                  <to>
                    <xdr:col>32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Check Box 16">
              <controlPr defaultSize="0" autoFill="0" autoLine="0" autoPict="0">
                <anchor moveWithCells="1">
                  <from>
                    <xdr:col>3</xdr:col>
                    <xdr:colOff>0</xdr:colOff>
                    <xdr:row>56</xdr:row>
                    <xdr:rowOff>28575</xdr:rowOff>
                  </from>
                  <to>
                    <xdr:col>4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Check Box 17">
              <controlPr defaultSize="0" autoFill="0" autoLine="0" autoPict="0">
                <anchor moveWithCells="1">
                  <from>
                    <xdr:col>11</xdr:col>
                    <xdr:colOff>0</xdr:colOff>
                    <xdr:row>56</xdr:row>
                    <xdr:rowOff>28575</xdr:rowOff>
                  </from>
                  <to>
                    <xdr:col>12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Check Box 18">
              <controlPr defaultSize="0" autoFill="0" autoLine="0" autoPict="0">
                <anchor moveWithCells="1">
                  <from>
                    <xdr:col>7</xdr:col>
                    <xdr:colOff>0</xdr:colOff>
                    <xdr:row>56</xdr:row>
                    <xdr:rowOff>28575</xdr:rowOff>
                  </from>
                  <to>
                    <xdr:col>8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Check Box 20">
              <controlPr defaultSize="0" autoFill="0" autoLine="0" autoPict="0">
                <anchor moveWithCells="1">
                  <from>
                    <xdr:col>15</xdr:col>
                    <xdr:colOff>0</xdr:colOff>
                    <xdr:row>56</xdr:row>
                    <xdr:rowOff>28575</xdr:rowOff>
                  </from>
                  <to>
                    <xdr:col>16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Check Box 21">
              <controlPr defaultSize="0" autoFill="0" autoLine="0" autoPict="0">
                <anchor moveWithCells="1">
                  <from>
                    <xdr:col>19</xdr:col>
                    <xdr:colOff>0</xdr:colOff>
                    <xdr:row>56</xdr:row>
                    <xdr:rowOff>28575</xdr:rowOff>
                  </from>
                  <to>
                    <xdr:col>20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Check Box 22">
              <controlPr defaultSize="0" autoFill="0" autoLine="0" autoPict="0">
                <anchor moveWithCells="1">
                  <from>
                    <xdr:col>23</xdr:col>
                    <xdr:colOff>0</xdr:colOff>
                    <xdr:row>56</xdr:row>
                    <xdr:rowOff>28575</xdr:rowOff>
                  </from>
                  <to>
                    <xdr:col>24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Check Box 23">
              <controlPr defaultSize="0" autoFill="0" autoLine="0" autoPict="0">
                <anchor moveWithCells="1">
                  <from>
                    <xdr:col>27</xdr:col>
                    <xdr:colOff>0</xdr:colOff>
                    <xdr:row>56</xdr:row>
                    <xdr:rowOff>28575</xdr:rowOff>
                  </from>
                  <to>
                    <xdr:col>28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Check Box 24">
              <controlPr defaultSize="0" autoFill="0" autoLine="0" autoPict="0">
                <anchor moveWithCells="1">
                  <from>
                    <xdr:col>31</xdr:col>
                    <xdr:colOff>0</xdr:colOff>
                    <xdr:row>56</xdr:row>
                    <xdr:rowOff>28575</xdr:rowOff>
                  </from>
                  <to>
                    <xdr:col>32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Check Box 25">
              <controlPr defaultSize="0" autoFill="0" autoLine="0" autoPict="0">
                <anchor moveWithCells="1">
                  <from>
                    <xdr:col>3</xdr:col>
                    <xdr:colOff>0</xdr:colOff>
                    <xdr:row>76</xdr:row>
                    <xdr:rowOff>28575</xdr:rowOff>
                  </from>
                  <to>
                    <xdr:col>4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Check Box 26">
              <controlPr defaultSize="0" autoFill="0" autoLine="0" autoPict="0">
                <anchor moveWithCells="1">
                  <from>
                    <xdr:col>7</xdr:col>
                    <xdr:colOff>0</xdr:colOff>
                    <xdr:row>76</xdr:row>
                    <xdr:rowOff>28575</xdr:rowOff>
                  </from>
                  <to>
                    <xdr:col>8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Check Box 27">
              <controlPr defaultSize="0" autoFill="0" autoLine="0" autoPict="0">
                <anchor moveWithCells="1">
                  <from>
                    <xdr:col>11</xdr:col>
                    <xdr:colOff>0</xdr:colOff>
                    <xdr:row>76</xdr:row>
                    <xdr:rowOff>28575</xdr:rowOff>
                  </from>
                  <to>
                    <xdr:col>12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8" name="Check Box 28">
              <controlPr defaultSize="0" autoFill="0" autoLine="0" autoPict="0">
                <anchor moveWithCells="1">
                  <from>
                    <xdr:col>15</xdr:col>
                    <xdr:colOff>0</xdr:colOff>
                    <xdr:row>76</xdr:row>
                    <xdr:rowOff>28575</xdr:rowOff>
                  </from>
                  <to>
                    <xdr:col>16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Check Box 29">
              <controlPr defaultSize="0" autoFill="0" autoLine="0" autoPict="0">
                <anchor moveWithCells="1">
                  <from>
                    <xdr:col>19</xdr:col>
                    <xdr:colOff>0</xdr:colOff>
                    <xdr:row>76</xdr:row>
                    <xdr:rowOff>28575</xdr:rowOff>
                  </from>
                  <to>
                    <xdr:col>20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0" name="Check Box 30">
              <controlPr defaultSize="0" autoFill="0" autoLine="0" autoPict="0">
                <anchor moveWithCells="1">
                  <from>
                    <xdr:col>23</xdr:col>
                    <xdr:colOff>0</xdr:colOff>
                    <xdr:row>76</xdr:row>
                    <xdr:rowOff>28575</xdr:rowOff>
                  </from>
                  <to>
                    <xdr:col>24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Box 32">
              <controlPr defaultSize="0" autoFill="0" autoLine="0" autoPict="0">
                <anchor moveWithCells="1">
                  <from>
                    <xdr:col>27</xdr:col>
                    <xdr:colOff>0</xdr:colOff>
                    <xdr:row>76</xdr:row>
                    <xdr:rowOff>28575</xdr:rowOff>
                  </from>
                  <to>
                    <xdr:col>28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2" name="Check Box 34">
              <controlPr defaultSize="0" autoFill="0" autoLine="0" autoPict="0">
                <anchor moveWithCells="1">
                  <from>
                    <xdr:col>31</xdr:col>
                    <xdr:colOff>0</xdr:colOff>
                    <xdr:row>76</xdr:row>
                    <xdr:rowOff>28575</xdr:rowOff>
                  </from>
                  <to>
                    <xdr:col>32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3" name="Check Box 35">
              <controlPr defaultSize="0" autoFill="0" autoLine="0" autoPict="0">
                <anchor moveWithCells="1">
                  <from>
                    <xdr:col>14</xdr:col>
                    <xdr:colOff>0</xdr:colOff>
                    <xdr:row>35</xdr:row>
                    <xdr:rowOff>28575</xdr:rowOff>
                  </from>
                  <to>
                    <xdr:col>15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4" name="Check Box 37">
              <controlPr defaultSize="0" autoFill="0" autoLine="0" autoPict="0">
                <anchor moveWithCells="1">
                  <from>
                    <xdr:col>14</xdr:col>
                    <xdr:colOff>0</xdr:colOff>
                    <xdr:row>25</xdr:row>
                    <xdr:rowOff>28575</xdr:rowOff>
                  </from>
                  <to>
                    <xdr:col>15</xdr:col>
                    <xdr:colOff>9525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5" name="Check Box 39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28575</xdr:rowOff>
                  </from>
                  <to>
                    <xdr:col>15</xdr:col>
                    <xdr:colOff>9525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6" name="Check Box 41">
              <controlPr defaultSize="0" autoFill="0" autoLine="0" autoPict="0">
                <anchor moveWithCells="1">
                  <from>
                    <xdr:col>19</xdr:col>
                    <xdr:colOff>0</xdr:colOff>
                    <xdr:row>36</xdr:row>
                    <xdr:rowOff>28575</xdr:rowOff>
                  </from>
                  <to>
                    <xdr:col>20</xdr:col>
                    <xdr:colOff>9525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Check Box 47">
              <controlPr defaultSize="0" autoFill="0" autoLine="0" autoPict="0">
                <anchor moveWithCells="1">
                  <from>
                    <xdr:col>35</xdr:col>
                    <xdr:colOff>0</xdr:colOff>
                    <xdr:row>37</xdr:row>
                    <xdr:rowOff>28575</xdr:rowOff>
                  </from>
                  <to>
                    <xdr:col>36</xdr:col>
                    <xdr:colOff>9525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Check Box 49">
              <controlPr defaultSize="0" autoFill="0" autoLine="0" autoPict="0">
                <anchor moveWithCells="1">
                  <from>
                    <xdr:col>35</xdr:col>
                    <xdr:colOff>0</xdr:colOff>
                    <xdr:row>56</xdr:row>
                    <xdr:rowOff>28575</xdr:rowOff>
                  </from>
                  <to>
                    <xdr:col>36</xdr:col>
                    <xdr:colOff>9525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9" name="Check Box 51">
              <controlPr defaultSize="0" autoFill="0" autoLine="0" autoPict="0">
                <anchor moveWithCells="1">
                  <from>
                    <xdr:col>35</xdr:col>
                    <xdr:colOff>0</xdr:colOff>
                    <xdr:row>76</xdr:row>
                    <xdr:rowOff>28575</xdr:rowOff>
                  </from>
                  <to>
                    <xdr:col>36</xdr:col>
                    <xdr:colOff>9525</xdr:colOff>
                    <xdr:row>78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0" name="Check Box 53">
              <controlPr defaultSize="0" autoFill="0" autoLine="0" autoPict="0">
                <anchor moveWithCells="1">
                  <from>
                    <xdr:col>14</xdr:col>
                    <xdr:colOff>0</xdr:colOff>
                    <xdr:row>30</xdr:row>
                    <xdr:rowOff>28575</xdr:rowOff>
                  </from>
                  <to>
                    <xdr:col>15</xdr:col>
                    <xdr:colOff>9525</xdr:colOff>
                    <xdr:row>32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3">
    <tablePart r:id="rId31"/>
    <tablePart r:id="rId32"/>
    <tablePart r:id="rId3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D95FF96-106A-4319-9195-0E2CB653C3C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CK4:CK19</xm:sqref>
        </x14:conditionalFormatting>
        <x14:conditionalFormatting xmlns:xm="http://schemas.microsoft.com/office/excel/2006/main">
          <x14:cfRule type="dataBar" id="{544CEB37-A02B-491C-928F-DBFCB2DCD3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CM4:CM19</xm:sqref>
        </x14:conditionalFormatting>
        <x14:conditionalFormatting xmlns:xm="http://schemas.microsoft.com/office/excel/2006/main">
          <x14:cfRule type="dataBar" id="{AFB88A21-40EB-4834-8281-4939CD0A99B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CO4:CO19</xm:sqref>
        </x14:conditionalFormatting>
        <x14:conditionalFormatting xmlns:xm="http://schemas.microsoft.com/office/excel/2006/main">
          <x14:cfRule type="dataBar" id="{FF3042D0-73E0-4BA7-BBDD-C07BF4C5A9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CR4:CR19</xm:sqref>
        </x14:conditionalFormatting>
        <x14:conditionalFormatting xmlns:xm="http://schemas.microsoft.com/office/excel/2006/main">
          <x14:cfRule type="dataBar" id="{46CB061A-457F-49DD-9053-67B21BA9E90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CT4:CT19</xm:sqref>
        </x14:conditionalFormatting>
        <x14:conditionalFormatting xmlns:xm="http://schemas.microsoft.com/office/excel/2006/main">
          <x14:cfRule type="dataBar" id="{88B347C9-872B-4B62-8CFB-7E4D2E1498A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CV4:CV19</xm:sqref>
        </x14:conditionalFormatting>
        <x14:conditionalFormatting xmlns:xm="http://schemas.microsoft.com/office/excel/2006/main">
          <x14:cfRule type="dataBar" id="{3ACA3463-2524-4FBD-B438-F6EA7E2B135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CY4:CY19</xm:sqref>
        </x14:conditionalFormatting>
        <x14:conditionalFormatting xmlns:xm="http://schemas.microsoft.com/office/excel/2006/main">
          <x14:cfRule type="dataBar" id="{537AD1D3-EC17-485A-93B0-E667D46645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DA4:DA19</xm:sqref>
        </x14:conditionalFormatting>
        <x14:conditionalFormatting xmlns:xm="http://schemas.microsoft.com/office/excel/2006/main">
          <x14:cfRule type="dataBar" id="{20A99DC1-A7BF-4AA4-B3A0-4DEBE0AB29F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DC4:DC19</xm:sqref>
        </x14:conditionalFormatting>
        <x14:conditionalFormatting xmlns:xm="http://schemas.microsoft.com/office/excel/2006/main">
          <x14:cfRule type="dataBar" id="{96889D25-CC6C-480F-8513-97F9A2AAC91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DF4:DF19</xm:sqref>
        </x14:conditionalFormatting>
        <x14:conditionalFormatting xmlns:xm="http://schemas.microsoft.com/office/excel/2006/main">
          <x14:cfRule type="dataBar" id="{DBB8568B-F50E-4093-9867-71C7C0F9DDA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DH4:DH19</xm:sqref>
        </x14:conditionalFormatting>
        <x14:conditionalFormatting xmlns:xm="http://schemas.microsoft.com/office/excel/2006/main">
          <x14:cfRule type="dataBar" id="{5E17E7EA-1C82-4431-B9AE-AF59A6DB2A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DJ4:DJ19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>
    <tabColor theme="1"/>
  </sheetPr>
  <dimension ref="A3:S25"/>
  <sheetViews>
    <sheetView showGridLines="0" tabSelected="1" topLeftCell="K1" workbookViewId="0">
      <selection activeCell="AQ11" sqref="AQ11"/>
    </sheetView>
  </sheetViews>
  <sheetFormatPr defaultColWidth="3.5703125" defaultRowHeight="11.1" customHeight="1" x14ac:dyDescent="0.25"/>
  <cols>
    <col min="1" max="14" width="3.5703125" style="221"/>
    <col min="15" max="15" width="3.5703125" style="221" customWidth="1"/>
    <col min="16" max="16384" width="3.5703125" style="221"/>
  </cols>
  <sheetData>
    <row r="3" spans="1:19" ht="11.1" customHeight="1" x14ac:dyDescent="0.25">
      <c r="A3" s="290" t="s">
        <v>0</v>
      </c>
      <c r="B3" s="290"/>
      <c r="C3" s="290"/>
      <c r="E3" s="225" t="s">
        <v>142</v>
      </c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7"/>
    </row>
    <row r="4" spans="1:19" ht="11.1" customHeight="1" x14ac:dyDescent="0.25">
      <c r="A4" s="290"/>
      <c r="B4" s="290"/>
      <c r="C4" s="290"/>
      <c r="E4" s="222">
        <f>'Spor Toto'!$AW$3</f>
        <v>1</v>
      </c>
      <c r="F4" s="223">
        <f>'Spor Toto'!$AW$4</f>
        <v>2</v>
      </c>
      <c r="G4" s="223">
        <f>'Spor Toto'!$AW$5</f>
        <v>2</v>
      </c>
      <c r="H4" s="223">
        <f>'Spor Toto'!$AW$6</f>
        <v>1</v>
      </c>
      <c r="I4" s="223">
        <f>'Spor Toto'!$AW$7</f>
        <v>0</v>
      </c>
      <c r="J4" s="223">
        <f>'Spor Toto'!$AW$8</f>
        <v>1</v>
      </c>
      <c r="K4" s="223">
        <f>'Spor Toto'!$AW$9</f>
        <v>0</v>
      </c>
      <c r="L4" s="223">
        <f>'Spor Toto'!$AW$10</f>
        <v>0</v>
      </c>
      <c r="M4" s="223">
        <f>'Spor Toto'!$AW$11</f>
        <v>0</v>
      </c>
      <c r="N4" s="223">
        <f>'Spor Toto'!$AW$12</f>
        <v>2</v>
      </c>
      <c r="O4" s="223">
        <f>'Spor Toto'!$AW$13</f>
        <v>0</v>
      </c>
      <c r="P4" s="223">
        <f>'Spor Toto'!$AW$14</f>
        <v>1</v>
      </c>
      <c r="Q4" s="223">
        <f>'Spor Toto'!$AW$15</f>
        <v>1</v>
      </c>
      <c r="R4" s="223">
        <f>'Spor Toto'!$AW$16</f>
        <v>2</v>
      </c>
      <c r="S4" s="224">
        <f>'Spor Toto'!$AW$17</f>
        <v>1</v>
      </c>
    </row>
    <row r="6" spans="1:19" ht="11.1" customHeight="1" x14ac:dyDescent="0.25">
      <c r="A6" s="290" t="s">
        <v>1</v>
      </c>
      <c r="B6" s="290"/>
      <c r="C6" s="290"/>
      <c r="E6" s="225" t="s">
        <v>144</v>
      </c>
      <c r="F6" s="226"/>
      <c r="G6" s="226"/>
      <c r="H6" s="226"/>
      <c r="I6" s="226"/>
      <c r="J6" s="226"/>
      <c r="K6" s="226"/>
      <c r="L6" s="226"/>
      <c r="M6" s="226"/>
      <c r="N6" s="226"/>
      <c r="O6" s="227"/>
    </row>
    <row r="7" spans="1:19" ht="11.1" customHeight="1" x14ac:dyDescent="0.25">
      <c r="A7" s="290"/>
      <c r="B7" s="290"/>
      <c r="C7" s="290"/>
      <c r="E7" s="229" t="str">
        <f>IF(E8="","",SUBTOTAL(3,E8:E10))</f>
        <v/>
      </c>
      <c r="F7" s="228" t="s">
        <v>143</v>
      </c>
      <c r="G7" s="223"/>
      <c r="H7" s="223"/>
      <c r="I7" s="223"/>
      <c r="J7" s="223"/>
      <c r="K7" s="223"/>
      <c r="L7" s="223"/>
      <c r="M7" s="223"/>
      <c r="N7" s="223"/>
      <c r="O7" s="224"/>
    </row>
    <row r="9" spans="1:19" ht="11.1" customHeight="1" x14ac:dyDescent="0.25">
      <c r="A9" s="290" t="s">
        <v>138</v>
      </c>
      <c r="B9" s="290"/>
      <c r="C9" s="290"/>
    </row>
    <row r="10" spans="1:19" ht="11.1" customHeight="1" x14ac:dyDescent="0.25">
      <c r="A10" s="290"/>
      <c r="B10" s="290"/>
      <c r="C10" s="290"/>
    </row>
    <row r="12" spans="1:19" ht="11.1" customHeight="1" x14ac:dyDescent="0.25">
      <c r="A12" s="290" t="s">
        <v>112</v>
      </c>
      <c r="B12" s="290"/>
      <c r="C12" s="290"/>
    </row>
    <row r="13" spans="1:19" ht="11.1" customHeight="1" x14ac:dyDescent="0.25">
      <c r="A13" s="290"/>
      <c r="B13" s="290"/>
      <c r="C13" s="290"/>
    </row>
    <row r="15" spans="1:19" ht="11.1" customHeight="1" x14ac:dyDescent="0.25">
      <c r="A15" s="290" t="s">
        <v>117</v>
      </c>
      <c r="B15" s="290"/>
      <c r="C15" s="290"/>
    </row>
    <row r="16" spans="1:19" ht="11.1" customHeight="1" x14ac:dyDescent="0.25">
      <c r="A16" s="290"/>
      <c r="B16" s="290"/>
      <c r="C16" s="290"/>
    </row>
    <row r="18" spans="1:3" ht="11.1" customHeight="1" x14ac:dyDescent="0.25">
      <c r="A18" s="290" t="s">
        <v>118</v>
      </c>
      <c r="B18" s="290"/>
      <c r="C18" s="290"/>
    </row>
    <row r="19" spans="1:3" ht="11.1" customHeight="1" x14ac:dyDescent="0.25">
      <c r="A19" s="290"/>
      <c r="B19" s="290"/>
      <c r="C19" s="290"/>
    </row>
    <row r="21" spans="1:3" ht="11.1" customHeight="1" x14ac:dyDescent="0.25">
      <c r="A21" s="290"/>
      <c r="B21" s="290"/>
      <c r="C21" s="290"/>
    </row>
    <row r="22" spans="1:3" ht="11.1" customHeight="1" x14ac:dyDescent="0.25">
      <c r="A22" s="290"/>
      <c r="B22" s="290"/>
      <c r="C22" s="290"/>
    </row>
    <row r="24" spans="1:3" ht="11.1" customHeight="1" x14ac:dyDescent="0.25">
      <c r="A24" s="290"/>
      <c r="B24" s="290"/>
      <c r="C24" s="290"/>
    </row>
    <row r="25" spans="1:3" ht="11.1" customHeight="1" x14ac:dyDescent="0.25">
      <c r="A25" s="290"/>
      <c r="B25" s="290"/>
      <c r="C25" s="290"/>
    </row>
  </sheetData>
  <mergeCells count="8">
    <mergeCell ref="A21:C22"/>
    <mergeCell ref="A24:C25"/>
    <mergeCell ref="A3:C4"/>
    <mergeCell ref="A6:C7"/>
    <mergeCell ref="A9:C10"/>
    <mergeCell ref="A12:C13"/>
    <mergeCell ref="A15:C16"/>
    <mergeCell ref="A18:C19"/>
  </mergeCells>
  <hyperlinks>
    <hyperlink ref="A6:C7" location="'Spor Toto'!BY1" display="Veri Girişi"/>
    <hyperlink ref="A9:C10" location="'Spor Toto'!DN1" display="İstatistik"/>
    <hyperlink ref="A3:C4" location="'Spor Toto'!A1" display="Spor Toto"/>
    <hyperlink ref="A12:C13" location="'Spor Toto'!FC1" display="Dinamik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Spor Toto</vt:lpstr>
      <vt:lpstr>Formüller</vt:lpstr>
    </vt:vector>
  </TitlesOfParts>
  <Company>user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</dc:creator>
  <cp:lastModifiedBy>del</cp:lastModifiedBy>
  <dcterms:created xsi:type="dcterms:W3CDTF">2022-10-03T19:09:34Z</dcterms:created>
  <dcterms:modified xsi:type="dcterms:W3CDTF">2022-10-13T19:14:07Z</dcterms:modified>
</cp:coreProperties>
</file>